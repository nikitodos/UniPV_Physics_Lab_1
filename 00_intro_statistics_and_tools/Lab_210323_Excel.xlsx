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1">
      <go:sheetsCustomData xmlns:go="http://customooxmlschemas.google.com/" r:id="rId5" roundtripDataSignature="AMtx7mhLucjklU25TRfjPah4kIoSzsqolA=="/>
    </ext>
  </extLst>
</workbook>
</file>

<file path=xl/sharedStrings.xml><?xml version="1.0" encoding="utf-8"?>
<sst xmlns="http://schemas.openxmlformats.org/spreadsheetml/2006/main" count="28" uniqueCount="28">
  <si>
    <t>DATI SPERIMENTALI</t>
  </si>
  <si>
    <t>DATI DI LAVORO</t>
  </si>
  <si>
    <t>RISULTATI FINALI</t>
  </si>
  <si>
    <t>t [s]</t>
  </si>
  <si>
    <t>x [m]</t>
  </si>
  <si>
    <r>
      <rPr>
        <rFont val="Calibri"/>
        <color theme="1"/>
        <sz val="11.0"/>
      </rPr>
      <t>σ</t>
    </r>
    <r>
      <rPr>
        <rFont val="Calibri"/>
        <color theme="1"/>
        <sz val="11.0"/>
      </rPr>
      <t xml:space="preserve"> [m]</t>
    </r>
  </si>
  <si>
    <r>
      <rPr>
        <rFont val="Calibri"/>
        <color theme="1"/>
      </rPr>
      <t>t</t>
    </r>
    <r>
      <rPr>
        <rFont val="Calibri"/>
        <color theme="1"/>
        <sz val="11.0"/>
      </rPr>
      <t>²</t>
    </r>
  </si>
  <si>
    <t>tx</t>
  </si>
  <si>
    <t>xfit [m]</t>
  </si>
  <si>
    <t>t/σ²</t>
  </si>
  <si>
    <t>x/σ²</t>
  </si>
  <si>
    <t>t²/σ²</t>
  </si>
  <si>
    <t>tx/σ²</t>
  </si>
  <si>
    <t>1/σ²</t>
  </si>
  <si>
    <t>(x-xfit)²/σ²</t>
  </si>
  <si>
    <t>(x-xfit)/σ</t>
  </si>
  <si>
    <t>D</t>
  </si>
  <si>
    <t>A</t>
  </si>
  <si>
    <t>σA</t>
  </si>
  <si>
    <t>χ²</t>
  </si>
  <si>
    <t>B</t>
  </si>
  <si>
    <t>σB</t>
  </si>
  <si>
    <t>χ² ridotto</t>
  </si>
  <si>
    <t>St</t>
  </si>
  <si>
    <t>Stt</t>
  </si>
  <si>
    <t>S1</t>
  </si>
  <si>
    <t>Sx</t>
  </si>
  <si>
    <t>Stx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</si>
</sst>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Fit dei dati sperimentali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Dati sperimentali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Foglio1!$A$3:$A$503</c:f>
            </c:numRef>
          </c:xVal>
          <c:yVal>
            <c:numRef>
              <c:f>Foglio1!$B$3:$B$503</c:f>
              <c:numCache/>
            </c:numRef>
          </c:yVal>
        </c:ser>
        <c:ser>
          <c:idx val="1"/>
          <c:order val="1"/>
          <c:tx>
            <c:v>Dati del fit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Foglio1!$A$3:$A$503</c:f>
            </c:numRef>
          </c:xVal>
          <c:yVal>
            <c:numRef>
              <c:f>Foglio1!$G$3:$G$503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74641"/>
        <c:axId val="599573150"/>
      </c:scatterChart>
      <c:valAx>
        <c:axId val="9254746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9573150"/>
      </c:valAx>
      <c:valAx>
        <c:axId val="599573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Distanza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547464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Analisi dei residui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Foglio1!$A$3:$A$503</c:f>
            </c:numRef>
          </c:xVal>
          <c:yVal>
            <c:numRef>
              <c:f>Foglio1!$N$4:$N$503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39681"/>
        <c:axId val="403169912"/>
      </c:scatterChart>
      <c:valAx>
        <c:axId val="1262439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Distanza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3169912"/>
      </c:valAx>
      <c:valAx>
        <c:axId val="403169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Residui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243968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8</xdr:row>
      <xdr:rowOff>0</xdr:rowOff>
    </xdr:from>
    <xdr:ext cx="5305425" cy="7058025"/>
    <xdr:graphicFrame>
      <xdr:nvGraphicFramePr>
        <xdr:cNvPr id="13748795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47</xdr:row>
      <xdr:rowOff>161925</xdr:rowOff>
    </xdr:from>
    <xdr:ext cx="5286375" cy="3810000"/>
    <xdr:graphicFrame>
      <xdr:nvGraphicFramePr>
        <xdr:cNvPr id="731277084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6.13"/>
    <col customWidth="1" min="3" max="3" width="5.5"/>
    <col customWidth="1" min="4" max="4" width="7.63"/>
    <col customWidth="1" min="5" max="5" width="7.88"/>
    <col customWidth="1" min="6" max="13" width="10.5"/>
    <col customWidth="1" min="14" max="16" width="7.63"/>
    <col customWidth="1" min="17" max="17" width="10.5"/>
    <col customWidth="1" min="18" max="19" width="7.63"/>
    <col customWidth="1" min="20" max="20" width="10.5"/>
    <col customWidth="1" min="21" max="22" width="7.63"/>
    <col customWidth="1" min="23" max="23" width="10.5"/>
    <col customWidth="1" min="24" max="26" width="7.63"/>
  </cols>
  <sheetData>
    <row r="1" ht="14.25" customHeight="1">
      <c r="A1" s="1" t="s">
        <v>0</v>
      </c>
      <c r="E1" s="1" t="s">
        <v>1</v>
      </c>
      <c r="P1" s="1" t="s">
        <v>2</v>
      </c>
      <c r="X1" s="2"/>
      <c r="Y1" s="2"/>
      <c r="Z1" s="2"/>
    </row>
    <row r="2" ht="14.25" customHeight="1">
      <c r="A2" s="3" t="s">
        <v>3</v>
      </c>
      <c r="B2" s="3" t="s">
        <v>4</v>
      </c>
      <c r="C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P2" s="3" t="s">
        <v>16</v>
      </c>
      <c r="Q2" s="3">
        <f>(W6*T6)-Q6^2</f>
        <v>27835205.07</v>
      </c>
      <c r="T2" s="2"/>
      <c r="V2" s="2"/>
    </row>
    <row r="3" ht="14.25" customHeight="1">
      <c r="A3" s="3">
        <v>0.0</v>
      </c>
      <c r="B3" s="3">
        <v>3.23</v>
      </c>
      <c r="C3" s="3">
        <v>0.05</v>
      </c>
      <c r="E3" s="3">
        <f t="shared" ref="E3:E503" si="1">A3*A3</f>
        <v>0</v>
      </c>
      <c r="F3" s="3">
        <f t="shared" ref="F3:F503" si="2">A3*B3</f>
        <v>0</v>
      </c>
      <c r="G3" s="3">
        <f t="shared" ref="G3:G503" si="3">$Q$3+($Q$4*A3)</f>
        <v>3.220178668</v>
      </c>
      <c r="H3" s="3">
        <f t="shared" ref="H3:H503" si="4">A3/(C3^2)</f>
        <v>0</v>
      </c>
      <c r="I3" s="3">
        <f t="shared" ref="I3:I503" si="5">B3/(C3^2)</f>
        <v>1292</v>
      </c>
      <c r="J3" s="3">
        <f t="shared" ref="J3:J503" si="6">E3/(C3^2)</f>
        <v>0</v>
      </c>
      <c r="K3" s="3">
        <f t="shared" ref="K3:K503" si="7">F3/(C3^2)</f>
        <v>0</v>
      </c>
      <c r="L3" s="3">
        <f t="shared" ref="L3:L503" si="8">1/(C3^2)</f>
        <v>400</v>
      </c>
      <c r="M3" s="3">
        <f t="shared" ref="M3:M503" si="9">((B3-G3)^2)/(C3^2)</f>
        <v>0.03858342422</v>
      </c>
      <c r="N3" s="3">
        <f t="shared" ref="N3:N503" si="10">((B3-G3)/C3)</f>
        <v>0.1964266383</v>
      </c>
      <c r="P3" s="3" t="s">
        <v>17</v>
      </c>
      <c r="Q3" s="3">
        <f>((T6*Q7)-(Q6*T7))/Q2</f>
        <v>3.220178668</v>
      </c>
      <c r="S3" s="2" t="s">
        <v>18</v>
      </c>
      <c r="T3" s="2">
        <f>SQRT(T6/Q2)</f>
        <v>0.02773143024</v>
      </c>
      <c r="V3" s="2" t="s">
        <v>19</v>
      </c>
      <c r="W3" s="3">
        <f>M505</f>
        <v>524.510363</v>
      </c>
    </row>
    <row r="4" ht="14.25" customHeight="1">
      <c r="A4" s="3">
        <v>0.1</v>
      </c>
      <c r="B4" s="3">
        <v>4.03</v>
      </c>
      <c r="C4" s="3">
        <v>0.06</v>
      </c>
      <c r="E4" s="3">
        <f t="shared" si="1"/>
        <v>0.01</v>
      </c>
      <c r="F4" s="3">
        <f t="shared" si="2"/>
        <v>0.403</v>
      </c>
      <c r="G4" s="3">
        <f t="shared" si="3"/>
        <v>4.081235146</v>
      </c>
      <c r="H4" s="3">
        <f t="shared" si="4"/>
        <v>27.77777778</v>
      </c>
      <c r="I4" s="3">
        <f t="shared" si="5"/>
        <v>1119.444444</v>
      </c>
      <c r="J4" s="3">
        <f t="shared" si="6"/>
        <v>2.777777778</v>
      </c>
      <c r="K4" s="3">
        <f t="shared" si="7"/>
        <v>111.9444444</v>
      </c>
      <c r="L4" s="3">
        <f t="shared" si="8"/>
        <v>277.7777778</v>
      </c>
      <c r="M4" s="3">
        <f t="shared" si="9"/>
        <v>0.7291778279</v>
      </c>
      <c r="N4" s="3">
        <f t="shared" si="10"/>
        <v>-0.8539190992</v>
      </c>
      <c r="P4" s="3" t="s">
        <v>20</v>
      </c>
      <c r="Q4" s="3">
        <f>((W6*T7)-(Q6*Q7))/Q2</f>
        <v>8.610564779</v>
      </c>
      <c r="R4" s="2"/>
      <c r="S4" s="2" t="s">
        <v>21</v>
      </c>
      <c r="T4" s="2">
        <f>SQRT(W6/Q2)</f>
        <v>0.007197298614</v>
      </c>
      <c r="V4" s="2" t="s">
        <v>22</v>
      </c>
      <c r="W4" s="3">
        <f>W3/499</f>
        <v>1.051122972</v>
      </c>
    </row>
    <row r="5" ht="14.25" customHeight="1">
      <c r="A5" s="3">
        <v>0.2</v>
      </c>
      <c r="B5" s="3">
        <v>5.04</v>
      </c>
      <c r="C5" s="3">
        <v>0.12</v>
      </c>
      <c r="E5" s="3">
        <f t="shared" si="1"/>
        <v>0.04</v>
      </c>
      <c r="F5" s="3">
        <f t="shared" si="2"/>
        <v>1.008</v>
      </c>
      <c r="G5" s="3">
        <f t="shared" si="3"/>
        <v>4.942291624</v>
      </c>
      <c r="H5" s="3">
        <f t="shared" si="4"/>
        <v>13.88888889</v>
      </c>
      <c r="I5" s="3">
        <f t="shared" si="5"/>
        <v>350</v>
      </c>
      <c r="J5" s="3">
        <f t="shared" si="6"/>
        <v>2.777777778</v>
      </c>
      <c r="K5" s="3">
        <f t="shared" si="7"/>
        <v>70</v>
      </c>
      <c r="L5" s="3">
        <f t="shared" si="8"/>
        <v>69.44444444</v>
      </c>
      <c r="M5" s="3">
        <f t="shared" si="9"/>
        <v>0.6629810262</v>
      </c>
      <c r="N5" s="3">
        <f t="shared" si="10"/>
        <v>0.8142364682</v>
      </c>
    </row>
    <row r="6" ht="14.25" customHeight="1">
      <c r="A6" s="3">
        <v>0.3</v>
      </c>
      <c r="B6" s="3">
        <v>5.86</v>
      </c>
      <c r="C6" s="3">
        <v>0.15</v>
      </c>
      <c r="E6" s="3">
        <f t="shared" si="1"/>
        <v>0.09</v>
      </c>
      <c r="F6" s="3">
        <f t="shared" si="2"/>
        <v>1.758</v>
      </c>
      <c r="G6" s="3">
        <f t="shared" si="3"/>
        <v>5.803348102</v>
      </c>
      <c r="H6" s="3">
        <f t="shared" si="4"/>
        <v>13.33333333</v>
      </c>
      <c r="I6" s="3">
        <f t="shared" si="5"/>
        <v>260.4444444</v>
      </c>
      <c r="J6" s="3">
        <f t="shared" si="6"/>
        <v>4</v>
      </c>
      <c r="K6" s="3">
        <f t="shared" si="7"/>
        <v>78.13333333</v>
      </c>
      <c r="L6" s="3">
        <f t="shared" si="8"/>
        <v>44.44444444</v>
      </c>
      <c r="M6" s="3">
        <f t="shared" si="9"/>
        <v>0.1426416704</v>
      </c>
      <c r="N6" s="3">
        <f t="shared" si="10"/>
        <v>0.3776793222</v>
      </c>
      <c r="P6" s="3" t="s">
        <v>23</v>
      </c>
      <c r="Q6" s="3">
        <f>H505</f>
        <v>1740.756164</v>
      </c>
      <c r="S6" s="3" t="s">
        <v>24</v>
      </c>
      <c r="T6" s="3">
        <f>J505</f>
        <v>21406.16963</v>
      </c>
      <c r="V6" s="3" t="s">
        <v>25</v>
      </c>
      <c r="W6" s="3">
        <f>L505</f>
        <v>1441.894445</v>
      </c>
    </row>
    <row r="7" ht="14.25" customHeight="1">
      <c r="A7" s="3">
        <v>0.4</v>
      </c>
      <c r="B7" s="3">
        <v>6.42</v>
      </c>
      <c r="C7" s="3">
        <v>0.12</v>
      </c>
      <c r="E7" s="3">
        <f t="shared" si="1"/>
        <v>0.16</v>
      </c>
      <c r="F7" s="3">
        <f t="shared" si="2"/>
        <v>2.568</v>
      </c>
      <c r="G7" s="3">
        <f t="shared" si="3"/>
        <v>6.66440458</v>
      </c>
      <c r="H7" s="3">
        <f t="shared" si="4"/>
        <v>27.77777778</v>
      </c>
      <c r="I7" s="3">
        <f t="shared" si="5"/>
        <v>445.8333333</v>
      </c>
      <c r="J7" s="3">
        <f t="shared" si="6"/>
        <v>11.11111111</v>
      </c>
      <c r="K7" s="3">
        <f t="shared" si="7"/>
        <v>178.3333333</v>
      </c>
      <c r="L7" s="3">
        <f t="shared" si="8"/>
        <v>69.44444444</v>
      </c>
      <c r="M7" s="3">
        <f t="shared" si="9"/>
        <v>4.148166562</v>
      </c>
      <c r="N7" s="3">
        <f t="shared" si="10"/>
        <v>-2.036704829</v>
      </c>
      <c r="P7" s="3" t="s">
        <v>26</v>
      </c>
      <c r="Q7" s="3">
        <f>I505</f>
        <v>19632.05145</v>
      </c>
      <c r="S7" s="3" t="s">
        <v>27</v>
      </c>
      <c r="T7" s="3">
        <f>K505</f>
        <v>189924.7561</v>
      </c>
    </row>
    <row r="8" ht="14.25" customHeight="1">
      <c r="A8" s="3">
        <v>0.5</v>
      </c>
      <c r="B8" s="3">
        <v>7.61</v>
      </c>
      <c r="C8" s="3">
        <v>0.09</v>
      </c>
      <c r="E8" s="3">
        <f t="shared" si="1"/>
        <v>0.25</v>
      </c>
      <c r="F8" s="3">
        <f t="shared" si="2"/>
        <v>3.805</v>
      </c>
      <c r="G8" s="3">
        <f t="shared" si="3"/>
        <v>7.525461057</v>
      </c>
      <c r="H8" s="3">
        <f t="shared" si="4"/>
        <v>61.72839506</v>
      </c>
      <c r="I8" s="3">
        <f t="shared" si="5"/>
        <v>939.5061728</v>
      </c>
      <c r="J8" s="3">
        <f t="shared" si="6"/>
        <v>30.86419753</v>
      </c>
      <c r="K8" s="3">
        <f t="shared" si="7"/>
        <v>469.7530864</v>
      </c>
      <c r="L8" s="3">
        <f t="shared" si="8"/>
        <v>123.4567901</v>
      </c>
      <c r="M8" s="3">
        <f t="shared" si="9"/>
        <v>0.882325039</v>
      </c>
      <c r="N8" s="3">
        <f t="shared" si="10"/>
        <v>0.9393215845</v>
      </c>
    </row>
    <row r="9" ht="14.25" customHeight="1">
      <c r="A9" s="3">
        <v>0.6</v>
      </c>
      <c r="B9" s="3">
        <v>8.45</v>
      </c>
      <c r="C9" s="3">
        <v>0.15</v>
      </c>
      <c r="E9" s="3">
        <f t="shared" si="1"/>
        <v>0.36</v>
      </c>
      <c r="F9" s="3">
        <f t="shared" si="2"/>
        <v>5.07</v>
      </c>
      <c r="G9" s="3">
        <f t="shared" si="3"/>
        <v>8.386517535</v>
      </c>
      <c r="H9" s="3">
        <f t="shared" si="4"/>
        <v>26.66666667</v>
      </c>
      <c r="I9" s="3">
        <f t="shared" si="5"/>
        <v>375.5555556</v>
      </c>
      <c r="J9" s="3">
        <f t="shared" si="6"/>
        <v>16</v>
      </c>
      <c r="K9" s="3">
        <f t="shared" si="7"/>
        <v>225.3333333</v>
      </c>
      <c r="L9" s="3">
        <f t="shared" si="8"/>
        <v>44.44444444</v>
      </c>
      <c r="M9" s="3">
        <f t="shared" si="9"/>
        <v>0.179112148</v>
      </c>
      <c r="N9" s="3">
        <f t="shared" si="10"/>
        <v>0.4232164316</v>
      </c>
    </row>
    <row r="10" ht="14.25" customHeight="1">
      <c r="A10" s="3">
        <v>0.7</v>
      </c>
      <c r="B10" s="3">
        <v>9.68</v>
      </c>
      <c r="C10" s="3">
        <v>0.24</v>
      </c>
      <c r="E10" s="3">
        <f t="shared" si="1"/>
        <v>0.49</v>
      </c>
      <c r="F10" s="3">
        <f t="shared" si="2"/>
        <v>6.776</v>
      </c>
      <c r="G10" s="3">
        <f t="shared" si="3"/>
        <v>9.247574013</v>
      </c>
      <c r="H10" s="3">
        <f t="shared" si="4"/>
        <v>12.15277778</v>
      </c>
      <c r="I10" s="3">
        <f t="shared" si="5"/>
        <v>168.0555556</v>
      </c>
      <c r="J10" s="3">
        <f t="shared" si="6"/>
        <v>8.506944444</v>
      </c>
      <c r="K10" s="3">
        <f t="shared" si="7"/>
        <v>117.6388889</v>
      </c>
      <c r="L10" s="3">
        <f t="shared" si="8"/>
        <v>17.36111111</v>
      </c>
      <c r="M10" s="3">
        <f t="shared" si="9"/>
        <v>3.246392954</v>
      </c>
      <c r="N10" s="3">
        <f t="shared" si="10"/>
        <v>1.801774945</v>
      </c>
    </row>
    <row r="11" ht="14.25" customHeight="1">
      <c r="A11" s="3">
        <v>0.8</v>
      </c>
      <c r="B11" s="3">
        <v>9.68</v>
      </c>
      <c r="C11" s="3">
        <v>0.27</v>
      </c>
      <c r="E11" s="3">
        <f t="shared" si="1"/>
        <v>0.64</v>
      </c>
      <c r="F11" s="3">
        <f t="shared" si="2"/>
        <v>7.744</v>
      </c>
      <c r="G11" s="3">
        <f t="shared" si="3"/>
        <v>10.10863049</v>
      </c>
      <c r="H11" s="3">
        <f t="shared" si="4"/>
        <v>10.9739369</v>
      </c>
      <c r="I11" s="3">
        <f t="shared" si="5"/>
        <v>132.7846365</v>
      </c>
      <c r="J11" s="3">
        <f t="shared" si="6"/>
        <v>8.77914952</v>
      </c>
      <c r="K11" s="3">
        <f t="shared" si="7"/>
        <v>106.2277092</v>
      </c>
      <c r="L11" s="3">
        <f t="shared" si="8"/>
        <v>13.71742112</v>
      </c>
      <c r="M11" s="3">
        <f t="shared" si="9"/>
        <v>2.52022082</v>
      </c>
      <c r="N11" s="3">
        <f t="shared" si="10"/>
        <v>-1.587520337</v>
      </c>
    </row>
    <row r="12" ht="14.25" customHeight="1">
      <c r="A12" s="3">
        <v>0.9</v>
      </c>
      <c r="B12" s="3">
        <v>10.79</v>
      </c>
      <c r="C12" s="3">
        <v>0.12</v>
      </c>
      <c r="E12" s="3">
        <f t="shared" si="1"/>
        <v>0.81</v>
      </c>
      <c r="F12" s="3">
        <f t="shared" si="2"/>
        <v>9.711</v>
      </c>
      <c r="G12" s="3">
        <f t="shared" si="3"/>
        <v>10.96968697</v>
      </c>
      <c r="H12" s="3">
        <f t="shared" si="4"/>
        <v>62.5</v>
      </c>
      <c r="I12" s="3">
        <f t="shared" si="5"/>
        <v>749.3055556</v>
      </c>
      <c r="J12" s="3">
        <f t="shared" si="6"/>
        <v>56.25</v>
      </c>
      <c r="K12" s="3">
        <f t="shared" si="7"/>
        <v>674.375</v>
      </c>
      <c r="L12" s="3">
        <f t="shared" si="8"/>
        <v>69.44444444</v>
      </c>
      <c r="M12" s="3">
        <f t="shared" si="9"/>
        <v>2.242181026</v>
      </c>
      <c r="N12" s="3">
        <f t="shared" si="10"/>
        <v>-1.497391407</v>
      </c>
    </row>
    <row r="13" ht="14.25" customHeight="1">
      <c r="A13" s="3">
        <v>1.0</v>
      </c>
      <c r="B13" s="3">
        <v>12.28</v>
      </c>
      <c r="C13" s="3">
        <v>0.22</v>
      </c>
      <c r="E13" s="3">
        <f t="shared" si="1"/>
        <v>1</v>
      </c>
      <c r="F13" s="3">
        <f t="shared" si="2"/>
        <v>12.28</v>
      </c>
      <c r="G13" s="3">
        <f t="shared" si="3"/>
        <v>11.83074345</v>
      </c>
      <c r="H13" s="3">
        <f t="shared" si="4"/>
        <v>20.66115702</v>
      </c>
      <c r="I13" s="3">
        <f t="shared" si="5"/>
        <v>253.7190083</v>
      </c>
      <c r="J13" s="3">
        <f t="shared" si="6"/>
        <v>20.66115702</v>
      </c>
      <c r="K13" s="3">
        <f t="shared" si="7"/>
        <v>253.7190083</v>
      </c>
      <c r="L13" s="3">
        <f t="shared" si="8"/>
        <v>20.66115702</v>
      </c>
      <c r="M13" s="3">
        <f t="shared" si="9"/>
        <v>4.170071295</v>
      </c>
      <c r="N13" s="3">
        <f t="shared" si="10"/>
        <v>2.042075242</v>
      </c>
    </row>
    <row r="14" ht="14.25" customHeight="1">
      <c r="A14" s="3">
        <v>1.1</v>
      </c>
      <c r="B14" s="3">
        <v>12.89</v>
      </c>
      <c r="C14" s="3">
        <v>0.24</v>
      </c>
      <c r="E14" s="3">
        <f t="shared" si="1"/>
        <v>1.21</v>
      </c>
      <c r="F14" s="3">
        <f t="shared" si="2"/>
        <v>14.179</v>
      </c>
      <c r="G14" s="3">
        <f t="shared" si="3"/>
        <v>12.69179992</v>
      </c>
      <c r="H14" s="3">
        <f t="shared" si="4"/>
        <v>19.09722222</v>
      </c>
      <c r="I14" s="3">
        <f t="shared" si="5"/>
        <v>223.7847222</v>
      </c>
      <c r="J14" s="3">
        <f t="shared" si="6"/>
        <v>21.00694444</v>
      </c>
      <c r="K14" s="3">
        <f t="shared" si="7"/>
        <v>246.1631944</v>
      </c>
      <c r="L14" s="3">
        <f t="shared" si="8"/>
        <v>17.36111111</v>
      </c>
      <c r="M14" s="3">
        <f t="shared" si="9"/>
        <v>0.6820012135</v>
      </c>
      <c r="N14" s="3">
        <f t="shared" si="10"/>
        <v>0.8258336476</v>
      </c>
    </row>
    <row r="15" ht="14.25" customHeight="1">
      <c r="A15" s="3">
        <v>1.2</v>
      </c>
      <c r="B15" s="3">
        <v>13.03</v>
      </c>
      <c r="C15" s="3">
        <v>0.34</v>
      </c>
      <c r="E15" s="3">
        <f t="shared" si="1"/>
        <v>1.44</v>
      </c>
      <c r="F15" s="3">
        <f t="shared" si="2"/>
        <v>15.636</v>
      </c>
      <c r="G15" s="3">
        <f t="shared" si="3"/>
        <v>13.5528564</v>
      </c>
      <c r="H15" s="3">
        <f t="shared" si="4"/>
        <v>10.38062284</v>
      </c>
      <c r="I15" s="3">
        <f t="shared" si="5"/>
        <v>112.716263</v>
      </c>
      <c r="J15" s="3">
        <f t="shared" si="6"/>
        <v>12.4567474</v>
      </c>
      <c r="K15" s="3">
        <f t="shared" si="7"/>
        <v>135.2595156</v>
      </c>
      <c r="L15" s="3">
        <f t="shared" si="8"/>
        <v>8.650519031</v>
      </c>
      <c r="M15" s="3">
        <f t="shared" si="9"/>
        <v>2.364868664</v>
      </c>
      <c r="N15" s="3">
        <f t="shared" si="10"/>
        <v>-1.537812948</v>
      </c>
    </row>
    <row r="16" ht="14.25" customHeight="1">
      <c r="A16" s="3">
        <v>1.3</v>
      </c>
      <c r="B16" s="3">
        <v>14.41</v>
      </c>
      <c r="C16" s="3">
        <v>0.21</v>
      </c>
      <c r="E16" s="3">
        <f t="shared" si="1"/>
        <v>1.69</v>
      </c>
      <c r="F16" s="3">
        <f t="shared" si="2"/>
        <v>18.733</v>
      </c>
      <c r="G16" s="3">
        <f t="shared" si="3"/>
        <v>14.41391288</v>
      </c>
      <c r="H16" s="3">
        <f t="shared" si="4"/>
        <v>29.47845805</v>
      </c>
      <c r="I16" s="3">
        <f t="shared" si="5"/>
        <v>326.7573696</v>
      </c>
      <c r="J16" s="3">
        <f t="shared" si="6"/>
        <v>38.32199546</v>
      </c>
      <c r="K16" s="3">
        <f t="shared" si="7"/>
        <v>424.7845805</v>
      </c>
      <c r="L16" s="3">
        <f t="shared" si="8"/>
        <v>22.67573696</v>
      </c>
      <c r="M16" s="3">
        <f t="shared" si="9"/>
        <v>0.0003471798694</v>
      </c>
      <c r="N16" s="3">
        <f t="shared" si="10"/>
        <v>-0.01863276333</v>
      </c>
    </row>
    <row r="17" ht="14.25" customHeight="1">
      <c r="A17" s="3">
        <v>1.4</v>
      </c>
      <c r="B17" s="3">
        <v>15.27</v>
      </c>
      <c r="C17" s="3">
        <v>0.23</v>
      </c>
      <c r="E17" s="3">
        <f t="shared" si="1"/>
        <v>1.96</v>
      </c>
      <c r="F17" s="3">
        <f t="shared" si="2"/>
        <v>21.378</v>
      </c>
      <c r="G17" s="3">
        <f t="shared" si="3"/>
        <v>15.27496936</v>
      </c>
      <c r="H17" s="3">
        <f t="shared" si="4"/>
        <v>26.46502836</v>
      </c>
      <c r="I17" s="3">
        <f t="shared" si="5"/>
        <v>288.657845</v>
      </c>
      <c r="J17" s="3">
        <f t="shared" si="6"/>
        <v>37.0510397</v>
      </c>
      <c r="K17" s="3">
        <f t="shared" si="7"/>
        <v>404.120983</v>
      </c>
      <c r="L17" s="3">
        <f t="shared" si="8"/>
        <v>18.90359168</v>
      </c>
      <c r="M17" s="3">
        <f t="shared" si="9"/>
        <v>0.0004668151332</v>
      </c>
      <c r="N17" s="3">
        <f t="shared" si="10"/>
        <v>-0.02160590505</v>
      </c>
    </row>
    <row r="18" ht="14.25" customHeight="1">
      <c r="A18" s="3">
        <v>1.5</v>
      </c>
      <c r="B18" s="3">
        <v>16.61</v>
      </c>
      <c r="C18" s="3">
        <v>0.31</v>
      </c>
      <c r="E18" s="3">
        <f t="shared" si="1"/>
        <v>2.25</v>
      </c>
      <c r="F18" s="3">
        <f t="shared" si="2"/>
        <v>24.915</v>
      </c>
      <c r="G18" s="3">
        <f t="shared" si="3"/>
        <v>16.13602584</v>
      </c>
      <c r="H18" s="3">
        <f t="shared" si="4"/>
        <v>15.60874089</v>
      </c>
      <c r="I18" s="3">
        <f t="shared" si="5"/>
        <v>172.8407908</v>
      </c>
      <c r="J18" s="3">
        <f t="shared" si="6"/>
        <v>23.41311134</v>
      </c>
      <c r="K18" s="3">
        <f t="shared" si="7"/>
        <v>259.2611863</v>
      </c>
      <c r="L18" s="3">
        <f t="shared" si="8"/>
        <v>10.40582726</v>
      </c>
      <c r="M18" s="3">
        <f t="shared" si="9"/>
        <v>2.337684788</v>
      </c>
      <c r="N18" s="3">
        <f t="shared" si="10"/>
        <v>1.528948916</v>
      </c>
    </row>
    <row r="19" ht="14.25" customHeight="1">
      <c r="A19" s="3">
        <v>1.6</v>
      </c>
      <c r="B19" s="3">
        <v>16.74</v>
      </c>
      <c r="C19" s="3">
        <v>0.3</v>
      </c>
      <c r="E19" s="3">
        <f t="shared" si="1"/>
        <v>2.56</v>
      </c>
      <c r="F19" s="3">
        <f t="shared" si="2"/>
        <v>26.784</v>
      </c>
      <c r="G19" s="3">
        <f t="shared" si="3"/>
        <v>16.99708231</v>
      </c>
      <c r="H19" s="3">
        <f t="shared" si="4"/>
        <v>17.77777778</v>
      </c>
      <c r="I19" s="3">
        <f t="shared" si="5"/>
        <v>186</v>
      </c>
      <c r="J19" s="3">
        <f t="shared" si="6"/>
        <v>28.44444444</v>
      </c>
      <c r="K19" s="3">
        <f t="shared" si="7"/>
        <v>297.6</v>
      </c>
      <c r="L19" s="3">
        <f t="shared" si="8"/>
        <v>11.11111111</v>
      </c>
      <c r="M19" s="3">
        <f t="shared" si="9"/>
        <v>0.7343479568</v>
      </c>
      <c r="N19" s="3">
        <f t="shared" si="10"/>
        <v>-0.8569410463</v>
      </c>
    </row>
    <row r="20" ht="14.25" customHeight="1">
      <c r="A20" s="3">
        <v>1.7</v>
      </c>
      <c r="B20" s="3">
        <v>18.07</v>
      </c>
      <c r="C20" s="3">
        <v>0.47</v>
      </c>
      <c r="E20" s="3">
        <f t="shared" si="1"/>
        <v>2.89</v>
      </c>
      <c r="F20" s="3">
        <f t="shared" si="2"/>
        <v>30.719</v>
      </c>
      <c r="G20" s="3">
        <f t="shared" si="3"/>
        <v>17.85813879</v>
      </c>
      <c r="H20" s="3">
        <f t="shared" si="4"/>
        <v>7.69578995</v>
      </c>
      <c r="I20" s="3">
        <f t="shared" si="5"/>
        <v>81.80172024</v>
      </c>
      <c r="J20" s="3">
        <f t="shared" si="6"/>
        <v>13.08284292</v>
      </c>
      <c r="K20" s="3">
        <f t="shared" si="7"/>
        <v>139.0629244</v>
      </c>
      <c r="L20" s="3">
        <f t="shared" si="8"/>
        <v>4.526935265</v>
      </c>
      <c r="M20" s="3">
        <f t="shared" si="9"/>
        <v>0.203192266</v>
      </c>
      <c r="N20" s="3">
        <f t="shared" si="10"/>
        <v>0.4507685282</v>
      </c>
    </row>
    <row r="21" ht="14.25" customHeight="1">
      <c r="A21" s="3">
        <v>1.8</v>
      </c>
      <c r="B21" s="3">
        <v>18.87</v>
      </c>
      <c r="C21" s="3">
        <v>0.55</v>
      </c>
      <c r="E21" s="3">
        <f t="shared" si="1"/>
        <v>3.24</v>
      </c>
      <c r="F21" s="3">
        <f t="shared" si="2"/>
        <v>33.966</v>
      </c>
      <c r="G21" s="3">
        <f t="shared" si="3"/>
        <v>18.71919527</v>
      </c>
      <c r="H21" s="3">
        <f t="shared" si="4"/>
        <v>5.950413223</v>
      </c>
      <c r="I21" s="3">
        <f t="shared" si="5"/>
        <v>62.38016529</v>
      </c>
      <c r="J21" s="3">
        <f t="shared" si="6"/>
        <v>10.7107438</v>
      </c>
      <c r="K21" s="3">
        <f t="shared" si="7"/>
        <v>112.2842975</v>
      </c>
      <c r="L21" s="3">
        <f t="shared" si="8"/>
        <v>3.305785124</v>
      </c>
      <c r="M21" s="3">
        <f t="shared" si="9"/>
        <v>0.07518038581</v>
      </c>
      <c r="N21" s="3">
        <f t="shared" si="10"/>
        <v>0.2741904189</v>
      </c>
    </row>
    <row r="22" ht="14.25" customHeight="1">
      <c r="A22" s="3">
        <v>1.9</v>
      </c>
      <c r="B22" s="3">
        <v>19.47</v>
      </c>
      <c r="C22" s="3">
        <v>0.34</v>
      </c>
      <c r="E22" s="3">
        <f t="shared" si="1"/>
        <v>3.61</v>
      </c>
      <c r="F22" s="3">
        <f t="shared" si="2"/>
        <v>36.993</v>
      </c>
      <c r="G22" s="3">
        <f t="shared" si="3"/>
        <v>19.58025175</v>
      </c>
      <c r="H22" s="3">
        <f t="shared" si="4"/>
        <v>16.43598616</v>
      </c>
      <c r="I22" s="3">
        <f t="shared" si="5"/>
        <v>168.4256055</v>
      </c>
      <c r="J22" s="3">
        <f t="shared" si="6"/>
        <v>31.2283737</v>
      </c>
      <c r="K22" s="3">
        <f t="shared" si="7"/>
        <v>320.0086505</v>
      </c>
      <c r="L22" s="3">
        <f t="shared" si="8"/>
        <v>8.650519031</v>
      </c>
      <c r="M22" s="3">
        <f t="shared" si="9"/>
        <v>0.1051509327</v>
      </c>
      <c r="N22" s="3">
        <f t="shared" si="10"/>
        <v>-0.3242698455</v>
      </c>
    </row>
    <row r="23" ht="14.25" customHeight="1">
      <c r="A23" s="3">
        <v>2.0</v>
      </c>
      <c r="B23" s="3">
        <v>20.91</v>
      </c>
      <c r="C23" s="3">
        <v>0.35</v>
      </c>
      <c r="E23" s="3">
        <f t="shared" si="1"/>
        <v>4</v>
      </c>
      <c r="F23" s="3">
        <f t="shared" si="2"/>
        <v>41.82</v>
      </c>
      <c r="G23" s="3">
        <f t="shared" si="3"/>
        <v>20.44130823</v>
      </c>
      <c r="H23" s="3">
        <f t="shared" si="4"/>
        <v>16.32653061</v>
      </c>
      <c r="I23" s="3">
        <f t="shared" si="5"/>
        <v>170.6938776</v>
      </c>
      <c r="J23" s="3">
        <f t="shared" si="6"/>
        <v>32.65306122</v>
      </c>
      <c r="K23" s="3">
        <f t="shared" si="7"/>
        <v>341.3877551</v>
      </c>
      <c r="L23" s="3">
        <f t="shared" si="8"/>
        <v>8.163265306</v>
      </c>
      <c r="M23" s="3">
        <f t="shared" si="9"/>
        <v>1.79324065</v>
      </c>
      <c r="N23" s="3">
        <f t="shared" si="10"/>
        <v>1.339119356</v>
      </c>
    </row>
    <row r="24" ht="14.25" customHeight="1">
      <c r="A24" s="3">
        <v>2.1</v>
      </c>
      <c r="B24" s="3">
        <v>21.53</v>
      </c>
      <c r="C24" s="3">
        <v>0.58</v>
      </c>
      <c r="E24" s="3">
        <f t="shared" si="1"/>
        <v>4.41</v>
      </c>
      <c r="F24" s="3">
        <f t="shared" si="2"/>
        <v>45.213</v>
      </c>
      <c r="G24" s="3">
        <f t="shared" si="3"/>
        <v>21.3023647</v>
      </c>
      <c r="H24" s="3">
        <f t="shared" si="4"/>
        <v>6.242568371</v>
      </c>
      <c r="I24" s="3">
        <f t="shared" si="5"/>
        <v>64.00118906</v>
      </c>
      <c r="J24" s="3">
        <f t="shared" si="6"/>
        <v>13.10939358</v>
      </c>
      <c r="K24" s="3">
        <f t="shared" si="7"/>
        <v>134.402497</v>
      </c>
      <c r="L24" s="3">
        <f t="shared" si="8"/>
        <v>2.972651605</v>
      </c>
      <c r="M24" s="3">
        <f t="shared" si="9"/>
        <v>0.1540363506</v>
      </c>
      <c r="N24" s="3">
        <f t="shared" si="10"/>
        <v>0.3924746497</v>
      </c>
    </row>
    <row r="25" ht="14.25" customHeight="1">
      <c r="A25" s="3">
        <v>2.2</v>
      </c>
      <c r="B25" s="3">
        <v>22.53</v>
      </c>
      <c r="C25" s="3">
        <v>0.54</v>
      </c>
      <c r="E25" s="3">
        <f t="shared" si="1"/>
        <v>4.84</v>
      </c>
      <c r="F25" s="3">
        <f t="shared" si="2"/>
        <v>49.566</v>
      </c>
      <c r="G25" s="3">
        <f t="shared" si="3"/>
        <v>22.16342118</v>
      </c>
      <c r="H25" s="3">
        <f t="shared" si="4"/>
        <v>7.544581619</v>
      </c>
      <c r="I25" s="3">
        <f t="shared" si="5"/>
        <v>77.26337449</v>
      </c>
      <c r="J25" s="3">
        <f t="shared" si="6"/>
        <v>16.59807956</v>
      </c>
      <c r="K25" s="3">
        <f t="shared" si="7"/>
        <v>169.9794239</v>
      </c>
      <c r="L25" s="3">
        <f t="shared" si="8"/>
        <v>3.429355281</v>
      </c>
      <c r="M25" s="3">
        <f t="shared" si="9"/>
        <v>0.4608368673</v>
      </c>
      <c r="N25" s="3">
        <f t="shared" si="10"/>
        <v>0.6788496647</v>
      </c>
    </row>
    <row r="26" ht="14.25" customHeight="1">
      <c r="A26" s="3">
        <v>2.3</v>
      </c>
      <c r="B26" s="3">
        <v>23.19</v>
      </c>
      <c r="C26" s="3">
        <v>0.3</v>
      </c>
      <c r="E26" s="3">
        <f t="shared" si="1"/>
        <v>5.29</v>
      </c>
      <c r="F26" s="3">
        <f t="shared" si="2"/>
        <v>53.337</v>
      </c>
      <c r="G26" s="3">
        <f t="shared" si="3"/>
        <v>23.02447766</v>
      </c>
      <c r="H26" s="3">
        <f t="shared" si="4"/>
        <v>25.55555556</v>
      </c>
      <c r="I26" s="3">
        <f t="shared" si="5"/>
        <v>257.6666667</v>
      </c>
      <c r="J26" s="3">
        <f t="shared" si="6"/>
        <v>58.77777778</v>
      </c>
      <c r="K26" s="3">
        <f t="shared" si="7"/>
        <v>592.6333333</v>
      </c>
      <c r="L26" s="3">
        <f t="shared" si="8"/>
        <v>11.11111111</v>
      </c>
      <c r="M26" s="3">
        <f t="shared" si="9"/>
        <v>0.3044182822</v>
      </c>
      <c r="N26" s="3">
        <f t="shared" si="10"/>
        <v>0.5517411369</v>
      </c>
    </row>
    <row r="27" ht="14.25" customHeight="1">
      <c r="A27" s="3">
        <v>2.4</v>
      </c>
      <c r="B27" s="3">
        <v>23.8</v>
      </c>
      <c r="C27" s="3">
        <v>0.27</v>
      </c>
      <c r="E27" s="3">
        <f t="shared" si="1"/>
        <v>5.76</v>
      </c>
      <c r="F27" s="3">
        <f t="shared" si="2"/>
        <v>57.12</v>
      </c>
      <c r="G27" s="3">
        <f t="shared" si="3"/>
        <v>23.88553414</v>
      </c>
      <c r="H27" s="3">
        <f t="shared" si="4"/>
        <v>32.9218107</v>
      </c>
      <c r="I27" s="3">
        <f t="shared" si="5"/>
        <v>326.4746228</v>
      </c>
      <c r="J27" s="3">
        <f t="shared" si="6"/>
        <v>79.01234568</v>
      </c>
      <c r="K27" s="3">
        <f t="shared" si="7"/>
        <v>783.5390947</v>
      </c>
      <c r="L27" s="3">
        <f t="shared" si="8"/>
        <v>13.71742112</v>
      </c>
      <c r="M27" s="3">
        <f t="shared" si="9"/>
        <v>0.1003578677</v>
      </c>
      <c r="N27" s="3">
        <f t="shared" si="10"/>
        <v>-0.3167930992</v>
      </c>
    </row>
    <row r="28" ht="14.25" customHeight="1">
      <c r="A28" s="3">
        <v>2.5</v>
      </c>
      <c r="B28" s="3">
        <v>24.85</v>
      </c>
      <c r="C28" s="3">
        <v>0.25</v>
      </c>
      <c r="E28" s="3">
        <f t="shared" si="1"/>
        <v>6.25</v>
      </c>
      <c r="F28" s="3">
        <f t="shared" si="2"/>
        <v>62.125</v>
      </c>
      <c r="G28" s="3">
        <f t="shared" si="3"/>
        <v>24.74659061</v>
      </c>
      <c r="H28" s="3">
        <f t="shared" si="4"/>
        <v>40</v>
      </c>
      <c r="I28" s="3">
        <f t="shared" si="5"/>
        <v>397.6</v>
      </c>
      <c r="J28" s="3">
        <f t="shared" si="6"/>
        <v>100</v>
      </c>
      <c r="K28" s="3">
        <f t="shared" si="7"/>
        <v>994</v>
      </c>
      <c r="L28" s="3">
        <f t="shared" si="8"/>
        <v>16</v>
      </c>
      <c r="M28" s="3">
        <f t="shared" si="9"/>
        <v>0.1710960157</v>
      </c>
      <c r="N28" s="3">
        <f t="shared" si="10"/>
        <v>0.4136375414</v>
      </c>
    </row>
    <row r="29" ht="14.25" customHeight="1">
      <c r="A29" s="3">
        <v>2.6</v>
      </c>
      <c r="B29" s="3">
        <v>25.72</v>
      </c>
      <c r="C29" s="3">
        <v>0.36</v>
      </c>
      <c r="E29" s="3">
        <f t="shared" si="1"/>
        <v>6.76</v>
      </c>
      <c r="F29" s="3">
        <f t="shared" si="2"/>
        <v>66.872</v>
      </c>
      <c r="G29" s="3">
        <f t="shared" si="3"/>
        <v>25.60764709</v>
      </c>
      <c r="H29" s="3">
        <f t="shared" si="4"/>
        <v>20.0617284</v>
      </c>
      <c r="I29" s="3">
        <f t="shared" si="5"/>
        <v>198.4567901</v>
      </c>
      <c r="J29" s="3">
        <f t="shared" si="6"/>
        <v>52.16049383</v>
      </c>
      <c r="K29" s="3">
        <f t="shared" si="7"/>
        <v>515.9876543</v>
      </c>
      <c r="L29" s="3">
        <f t="shared" si="8"/>
        <v>7.716049383</v>
      </c>
      <c r="M29" s="3">
        <f t="shared" si="9"/>
        <v>0.097401048</v>
      </c>
      <c r="N29" s="3">
        <f t="shared" si="10"/>
        <v>0.3120914097</v>
      </c>
    </row>
    <row r="30" ht="14.25" customHeight="1">
      <c r="A30" s="3">
        <v>2.7</v>
      </c>
      <c r="B30" s="3">
        <v>26.68</v>
      </c>
      <c r="C30" s="3">
        <v>0.42</v>
      </c>
      <c r="E30" s="3">
        <f t="shared" si="1"/>
        <v>7.29</v>
      </c>
      <c r="F30" s="3">
        <f t="shared" si="2"/>
        <v>72.036</v>
      </c>
      <c r="G30" s="3">
        <f t="shared" si="3"/>
        <v>26.46870357</v>
      </c>
      <c r="H30" s="3">
        <f t="shared" si="4"/>
        <v>15.30612245</v>
      </c>
      <c r="I30" s="3">
        <f t="shared" si="5"/>
        <v>151.2471655</v>
      </c>
      <c r="J30" s="3">
        <f t="shared" si="6"/>
        <v>41.32653061</v>
      </c>
      <c r="K30" s="3">
        <f t="shared" si="7"/>
        <v>408.3673469</v>
      </c>
      <c r="L30" s="3">
        <f t="shared" si="8"/>
        <v>5.66893424</v>
      </c>
      <c r="M30" s="3">
        <f t="shared" si="9"/>
        <v>0.2530962651</v>
      </c>
      <c r="N30" s="3">
        <f t="shared" si="10"/>
        <v>0.5030867372</v>
      </c>
    </row>
    <row r="31" ht="14.25" customHeight="1">
      <c r="A31" s="3">
        <v>2.8</v>
      </c>
      <c r="B31" s="3">
        <v>27.76</v>
      </c>
      <c r="C31" s="3">
        <v>0.72</v>
      </c>
      <c r="E31" s="3">
        <f t="shared" si="1"/>
        <v>7.84</v>
      </c>
      <c r="F31" s="3">
        <f t="shared" si="2"/>
        <v>77.728</v>
      </c>
      <c r="G31" s="3">
        <f t="shared" si="3"/>
        <v>27.32976005</v>
      </c>
      <c r="H31" s="3">
        <f t="shared" si="4"/>
        <v>5.401234568</v>
      </c>
      <c r="I31" s="3">
        <f t="shared" si="5"/>
        <v>53.54938272</v>
      </c>
      <c r="J31" s="3">
        <f t="shared" si="6"/>
        <v>15.12345679</v>
      </c>
      <c r="K31" s="3">
        <f t="shared" si="7"/>
        <v>149.9382716</v>
      </c>
      <c r="L31" s="3">
        <f t="shared" si="8"/>
        <v>1.929012346</v>
      </c>
      <c r="M31" s="3">
        <f t="shared" si="9"/>
        <v>0.3570725619</v>
      </c>
      <c r="N31" s="3">
        <f t="shared" si="10"/>
        <v>0.5975554886</v>
      </c>
    </row>
    <row r="32" ht="14.25" customHeight="1">
      <c r="A32" s="3">
        <v>2.9</v>
      </c>
      <c r="B32" s="3">
        <v>28.14</v>
      </c>
      <c r="C32" s="3">
        <v>0.54</v>
      </c>
      <c r="E32" s="3">
        <f t="shared" si="1"/>
        <v>8.41</v>
      </c>
      <c r="F32" s="3">
        <f t="shared" si="2"/>
        <v>81.606</v>
      </c>
      <c r="G32" s="3">
        <f t="shared" si="3"/>
        <v>28.19081653</v>
      </c>
      <c r="H32" s="3">
        <f t="shared" si="4"/>
        <v>9.945130316</v>
      </c>
      <c r="I32" s="3">
        <f t="shared" si="5"/>
        <v>96.50205761</v>
      </c>
      <c r="J32" s="3">
        <f t="shared" si="6"/>
        <v>28.84087791</v>
      </c>
      <c r="K32" s="3">
        <f t="shared" si="7"/>
        <v>279.8559671</v>
      </c>
      <c r="L32" s="3">
        <f t="shared" si="8"/>
        <v>3.429355281</v>
      </c>
      <c r="M32" s="3">
        <f t="shared" si="9"/>
        <v>0.008855690415</v>
      </c>
      <c r="N32" s="3">
        <f t="shared" si="10"/>
        <v>-0.09410467796</v>
      </c>
    </row>
    <row r="33" ht="14.25" customHeight="1">
      <c r="A33" s="3">
        <v>3.0</v>
      </c>
      <c r="B33" s="3">
        <v>29.64</v>
      </c>
      <c r="C33" s="3">
        <v>0.85</v>
      </c>
      <c r="E33" s="3">
        <f t="shared" si="1"/>
        <v>9</v>
      </c>
      <c r="F33" s="3">
        <f t="shared" si="2"/>
        <v>88.92</v>
      </c>
      <c r="G33" s="3">
        <f t="shared" si="3"/>
        <v>29.051873</v>
      </c>
      <c r="H33" s="3">
        <f t="shared" si="4"/>
        <v>4.152249135</v>
      </c>
      <c r="I33" s="3">
        <f t="shared" si="5"/>
        <v>41.02422145</v>
      </c>
      <c r="J33" s="3">
        <f t="shared" si="6"/>
        <v>12.4567474</v>
      </c>
      <c r="K33" s="3">
        <f t="shared" si="7"/>
        <v>123.0726644</v>
      </c>
      <c r="L33" s="3">
        <f t="shared" si="8"/>
        <v>1.384083045</v>
      </c>
      <c r="M33" s="3">
        <f t="shared" si="9"/>
        <v>0.4787451397</v>
      </c>
      <c r="N33" s="3">
        <f t="shared" si="10"/>
        <v>0.691914113</v>
      </c>
    </row>
    <row r="34" ht="14.25" customHeight="1">
      <c r="A34" s="3">
        <v>3.1</v>
      </c>
      <c r="B34" s="3">
        <v>27.78</v>
      </c>
      <c r="C34" s="3">
        <v>0.86</v>
      </c>
      <c r="E34" s="3">
        <f t="shared" si="1"/>
        <v>9.61</v>
      </c>
      <c r="F34" s="3">
        <f t="shared" si="2"/>
        <v>86.118</v>
      </c>
      <c r="G34" s="3">
        <f t="shared" si="3"/>
        <v>29.91292948</v>
      </c>
      <c r="H34" s="3">
        <f t="shared" si="4"/>
        <v>4.19145484</v>
      </c>
      <c r="I34" s="3">
        <f t="shared" si="5"/>
        <v>37.5608437</v>
      </c>
      <c r="J34" s="3">
        <f t="shared" si="6"/>
        <v>12.99351001</v>
      </c>
      <c r="K34" s="3">
        <f t="shared" si="7"/>
        <v>116.4386155</v>
      </c>
      <c r="L34" s="3">
        <f t="shared" si="8"/>
        <v>1.352082207</v>
      </c>
      <c r="M34" s="3">
        <f t="shared" si="9"/>
        <v>6.151146802</v>
      </c>
      <c r="N34" s="3">
        <f t="shared" si="10"/>
        <v>-2.48015056</v>
      </c>
    </row>
    <row r="35" ht="14.25" customHeight="1">
      <c r="A35" s="3">
        <v>3.2</v>
      </c>
      <c r="B35" s="3">
        <v>30.98</v>
      </c>
      <c r="C35" s="3">
        <v>0.62</v>
      </c>
      <c r="E35" s="3">
        <f t="shared" si="1"/>
        <v>10.24</v>
      </c>
      <c r="F35" s="3">
        <f t="shared" si="2"/>
        <v>99.136</v>
      </c>
      <c r="G35" s="3">
        <f t="shared" si="3"/>
        <v>30.77398596</v>
      </c>
      <c r="H35" s="3">
        <f t="shared" si="4"/>
        <v>8.324661811</v>
      </c>
      <c r="I35" s="3">
        <f t="shared" si="5"/>
        <v>80.59313215</v>
      </c>
      <c r="J35" s="3">
        <f t="shared" si="6"/>
        <v>26.63891779</v>
      </c>
      <c r="K35" s="3">
        <f t="shared" si="7"/>
        <v>257.8980229</v>
      </c>
      <c r="L35" s="3">
        <f t="shared" si="8"/>
        <v>2.601456816</v>
      </c>
      <c r="M35" s="3">
        <f t="shared" si="9"/>
        <v>0.1104104704</v>
      </c>
      <c r="N35" s="3">
        <f t="shared" si="10"/>
        <v>0.3322807102</v>
      </c>
    </row>
    <row r="36" ht="14.25" customHeight="1">
      <c r="A36" s="3">
        <v>3.3</v>
      </c>
      <c r="B36" s="3">
        <v>31.13</v>
      </c>
      <c r="C36" s="3">
        <v>0.87</v>
      </c>
      <c r="E36" s="3">
        <f t="shared" si="1"/>
        <v>10.89</v>
      </c>
      <c r="F36" s="3">
        <f t="shared" si="2"/>
        <v>102.729</v>
      </c>
      <c r="G36" s="3">
        <f t="shared" si="3"/>
        <v>31.63504244</v>
      </c>
      <c r="H36" s="3">
        <f t="shared" si="4"/>
        <v>4.359889021</v>
      </c>
      <c r="I36" s="3">
        <f t="shared" si="5"/>
        <v>41.12828643</v>
      </c>
      <c r="J36" s="3">
        <f t="shared" si="6"/>
        <v>14.38763377</v>
      </c>
      <c r="K36" s="3">
        <f t="shared" si="7"/>
        <v>135.7233452</v>
      </c>
      <c r="L36" s="3">
        <f t="shared" si="8"/>
        <v>1.321178491</v>
      </c>
      <c r="M36" s="3">
        <f t="shared" si="9"/>
        <v>0.3369901754</v>
      </c>
      <c r="N36" s="3">
        <f t="shared" si="10"/>
        <v>-0.5805085489</v>
      </c>
    </row>
    <row r="37" ht="14.25" customHeight="1">
      <c r="A37" s="3">
        <v>3.4</v>
      </c>
      <c r="B37" s="3">
        <v>32.41</v>
      </c>
      <c r="C37" s="3">
        <v>0.59</v>
      </c>
      <c r="E37" s="3">
        <f t="shared" si="1"/>
        <v>11.56</v>
      </c>
      <c r="F37" s="3">
        <f t="shared" si="2"/>
        <v>110.194</v>
      </c>
      <c r="G37" s="3">
        <f t="shared" si="3"/>
        <v>32.49609892</v>
      </c>
      <c r="H37" s="3">
        <f t="shared" si="4"/>
        <v>9.767308245</v>
      </c>
      <c r="I37" s="3">
        <f t="shared" si="5"/>
        <v>93.10542947</v>
      </c>
      <c r="J37" s="3">
        <f t="shared" si="6"/>
        <v>33.20884803</v>
      </c>
      <c r="K37" s="3">
        <f t="shared" si="7"/>
        <v>316.5584602</v>
      </c>
      <c r="L37" s="3">
        <f t="shared" si="8"/>
        <v>2.872737719</v>
      </c>
      <c r="M37" s="3">
        <f t="shared" si="9"/>
        <v>0.02129567146</v>
      </c>
      <c r="N37" s="3">
        <f t="shared" si="10"/>
        <v>-0.1459303651</v>
      </c>
    </row>
    <row r="38" ht="14.25" customHeight="1">
      <c r="A38" s="3">
        <v>3.5</v>
      </c>
      <c r="B38" s="3">
        <v>33.83</v>
      </c>
      <c r="C38" s="3">
        <v>0.37</v>
      </c>
      <c r="E38" s="3">
        <f t="shared" si="1"/>
        <v>12.25</v>
      </c>
      <c r="F38" s="3">
        <f t="shared" si="2"/>
        <v>118.405</v>
      </c>
      <c r="G38" s="3">
        <f t="shared" si="3"/>
        <v>33.35715539</v>
      </c>
      <c r="H38" s="3">
        <f t="shared" si="4"/>
        <v>25.56610665</v>
      </c>
      <c r="I38" s="3">
        <f t="shared" si="5"/>
        <v>247.1146822</v>
      </c>
      <c r="J38" s="3">
        <f t="shared" si="6"/>
        <v>89.48137327</v>
      </c>
      <c r="K38" s="3">
        <f t="shared" si="7"/>
        <v>864.9013879</v>
      </c>
      <c r="L38" s="3">
        <f t="shared" si="8"/>
        <v>7.304601899</v>
      </c>
      <c r="M38" s="3">
        <f t="shared" si="9"/>
        <v>1.633177663</v>
      </c>
      <c r="N38" s="3">
        <f t="shared" si="10"/>
        <v>1.277958397</v>
      </c>
    </row>
    <row r="39" ht="14.25" customHeight="1">
      <c r="A39" s="3">
        <v>3.6</v>
      </c>
      <c r="B39" s="3">
        <v>34.41</v>
      </c>
      <c r="C39" s="3">
        <v>0.64</v>
      </c>
      <c r="E39" s="3">
        <f t="shared" si="1"/>
        <v>12.96</v>
      </c>
      <c r="F39" s="3">
        <f t="shared" si="2"/>
        <v>123.876</v>
      </c>
      <c r="G39" s="3">
        <f t="shared" si="3"/>
        <v>34.21821187</v>
      </c>
      <c r="H39" s="3">
        <f t="shared" si="4"/>
        <v>8.7890625</v>
      </c>
      <c r="I39" s="3">
        <f t="shared" si="5"/>
        <v>84.00878906</v>
      </c>
      <c r="J39" s="3">
        <f t="shared" si="6"/>
        <v>31.640625</v>
      </c>
      <c r="K39" s="3">
        <f t="shared" si="7"/>
        <v>302.4316406</v>
      </c>
      <c r="L39" s="3">
        <f t="shared" si="8"/>
        <v>2.44140625</v>
      </c>
      <c r="M39" s="3">
        <f t="shared" si="9"/>
        <v>0.0898014804</v>
      </c>
      <c r="N39" s="3">
        <f t="shared" si="10"/>
        <v>0.2996689513</v>
      </c>
    </row>
    <row r="40" ht="14.25" customHeight="1">
      <c r="A40" s="3">
        <v>3.7</v>
      </c>
      <c r="B40" s="3">
        <v>35.06</v>
      </c>
      <c r="C40" s="3">
        <v>0.77</v>
      </c>
      <c r="E40" s="3">
        <f t="shared" si="1"/>
        <v>13.69</v>
      </c>
      <c r="F40" s="3">
        <f t="shared" si="2"/>
        <v>129.722</v>
      </c>
      <c r="G40" s="3">
        <f t="shared" si="3"/>
        <v>35.07926835</v>
      </c>
      <c r="H40" s="3">
        <f t="shared" si="4"/>
        <v>6.240512734</v>
      </c>
      <c r="I40" s="3">
        <f t="shared" si="5"/>
        <v>59.13307472</v>
      </c>
      <c r="J40" s="3">
        <f t="shared" si="6"/>
        <v>23.08989712</v>
      </c>
      <c r="K40" s="3">
        <f t="shared" si="7"/>
        <v>218.7923765</v>
      </c>
      <c r="L40" s="3">
        <f t="shared" si="8"/>
        <v>1.686625063</v>
      </c>
      <c r="M40" s="3">
        <f t="shared" si="9"/>
        <v>0.0006261920614</v>
      </c>
      <c r="N40" s="3">
        <f t="shared" si="10"/>
        <v>-0.02502382987</v>
      </c>
    </row>
    <row r="41" ht="14.25" customHeight="1">
      <c r="A41" s="3">
        <v>3.8</v>
      </c>
      <c r="B41" s="3">
        <v>35.66</v>
      </c>
      <c r="C41" s="3">
        <v>0.96</v>
      </c>
      <c r="E41" s="3">
        <f t="shared" si="1"/>
        <v>14.44</v>
      </c>
      <c r="F41" s="3">
        <f t="shared" si="2"/>
        <v>135.508</v>
      </c>
      <c r="G41" s="3">
        <f t="shared" si="3"/>
        <v>35.94032483</v>
      </c>
      <c r="H41" s="3">
        <f t="shared" si="4"/>
        <v>4.123263889</v>
      </c>
      <c r="I41" s="3">
        <f t="shared" si="5"/>
        <v>38.69357639</v>
      </c>
      <c r="J41" s="3">
        <f t="shared" si="6"/>
        <v>15.66840278</v>
      </c>
      <c r="K41" s="3">
        <f t="shared" si="7"/>
        <v>147.0355903</v>
      </c>
      <c r="L41" s="3">
        <f t="shared" si="8"/>
        <v>1.085069444</v>
      </c>
      <c r="M41" s="3">
        <f t="shared" si="9"/>
        <v>0.08526693637</v>
      </c>
      <c r="N41" s="3">
        <f t="shared" si="10"/>
        <v>-0.292005028</v>
      </c>
    </row>
    <row r="42" ht="14.25" customHeight="1">
      <c r="A42" s="3">
        <v>3.9</v>
      </c>
      <c r="B42" s="3">
        <v>36.89</v>
      </c>
      <c r="C42" s="3">
        <v>0.97</v>
      </c>
      <c r="E42" s="3">
        <f t="shared" si="1"/>
        <v>15.21</v>
      </c>
      <c r="F42" s="3">
        <f t="shared" si="2"/>
        <v>143.871</v>
      </c>
      <c r="G42" s="3">
        <f t="shared" si="3"/>
        <v>36.8013813</v>
      </c>
      <c r="H42" s="3">
        <f t="shared" si="4"/>
        <v>4.144967584</v>
      </c>
      <c r="I42" s="3">
        <f t="shared" si="5"/>
        <v>39.2071421</v>
      </c>
      <c r="J42" s="3">
        <f t="shared" si="6"/>
        <v>16.16537358</v>
      </c>
      <c r="K42" s="3">
        <f t="shared" si="7"/>
        <v>152.9078542</v>
      </c>
      <c r="L42" s="3">
        <f t="shared" si="8"/>
        <v>1.062812201</v>
      </c>
      <c r="M42" s="3">
        <f t="shared" si="9"/>
        <v>0.008346554524</v>
      </c>
      <c r="N42" s="3">
        <f t="shared" si="10"/>
        <v>0.09135947966</v>
      </c>
    </row>
    <row r="43" ht="14.25" customHeight="1">
      <c r="A43" s="3">
        <v>4.0</v>
      </c>
      <c r="B43" s="3">
        <v>37.04</v>
      </c>
      <c r="C43" s="3">
        <v>0.76</v>
      </c>
      <c r="E43" s="3">
        <f t="shared" si="1"/>
        <v>16</v>
      </c>
      <c r="F43" s="3">
        <f t="shared" si="2"/>
        <v>148.16</v>
      </c>
      <c r="G43" s="3">
        <f t="shared" si="3"/>
        <v>37.66243778</v>
      </c>
      <c r="H43" s="3">
        <f t="shared" si="4"/>
        <v>6.925207756</v>
      </c>
      <c r="I43" s="3">
        <f t="shared" si="5"/>
        <v>64.12742382</v>
      </c>
      <c r="J43" s="3">
        <f t="shared" si="6"/>
        <v>27.70083102</v>
      </c>
      <c r="K43" s="3">
        <f t="shared" si="7"/>
        <v>256.5096953</v>
      </c>
      <c r="L43" s="3">
        <f t="shared" si="8"/>
        <v>1.731301939</v>
      </c>
      <c r="M43" s="3">
        <f t="shared" si="9"/>
        <v>0.6707562209</v>
      </c>
      <c r="N43" s="3">
        <f t="shared" si="10"/>
        <v>-0.8189970824</v>
      </c>
    </row>
    <row r="44" ht="14.25" customHeight="1">
      <c r="A44" s="3">
        <v>4.1</v>
      </c>
      <c r="B44" s="3">
        <v>38.79</v>
      </c>
      <c r="C44" s="3">
        <v>0.83</v>
      </c>
      <c r="E44" s="3">
        <f t="shared" si="1"/>
        <v>16.81</v>
      </c>
      <c r="F44" s="3">
        <f t="shared" si="2"/>
        <v>159.039</v>
      </c>
      <c r="G44" s="3">
        <f t="shared" si="3"/>
        <v>38.52349426</v>
      </c>
      <c r="H44" s="3">
        <f t="shared" si="4"/>
        <v>5.951516911</v>
      </c>
      <c r="I44" s="3">
        <f t="shared" si="5"/>
        <v>56.30715634</v>
      </c>
      <c r="J44" s="3">
        <f t="shared" si="6"/>
        <v>24.40121934</v>
      </c>
      <c r="K44" s="3">
        <f t="shared" si="7"/>
        <v>230.859341</v>
      </c>
      <c r="L44" s="3">
        <f t="shared" si="8"/>
        <v>1.45158949</v>
      </c>
      <c r="M44" s="3">
        <f t="shared" si="9"/>
        <v>0.1030995924</v>
      </c>
      <c r="N44" s="3">
        <f t="shared" si="10"/>
        <v>0.3210912525</v>
      </c>
    </row>
    <row r="45" ht="14.25" customHeight="1">
      <c r="A45" s="3">
        <v>4.2</v>
      </c>
      <c r="B45" s="3">
        <v>39.1</v>
      </c>
      <c r="C45" s="3">
        <v>0.48</v>
      </c>
      <c r="E45" s="3">
        <f t="shared" si="1"/>
        <v>17.64</v>
      </c>
      <c r="F45" s="3">
        <f t="shared" si="2"/>
        <v>164.22</v>
      </c>
      <c r="G45" s="3">
        <f t="shared" si="3"/>
        <v>39.38455074</v>
      </c>
      <c r="H45" s="3">
        <f t="shared" si="4"/>
        <v>18.22916667</v>
      </c>
      <c r="I45" s="3">
        <f t="shared" si="5"/>
        <v>169.7048611</v>
      </c>
      <c r="J45" s="3">
        <f t="shared" si="6"/>
        <v>76.5625</v>
      </c>
      <c r="K45" s="3">
        <f t="shared" si="7"/>
        <v>712.7604167</v>
      </c>
      <c r="L45" s="3">
        <f t="shared" si="8"/>
        <v>4.340277778</v>
      </c>
      <c r="M45" s="3">
        <f t="shared" si="9"/>
        <v>0.3514284838</v>
      </c>
      <c r="N45" s="3">
        <f t="shared" si="10"/>
        <v>-0.5928140382</v>
      </c>
    </row>
    <row r="46" ht="14.25" customHeight="1">
      <c r="A46" s="3">
        <v>4.3</v>
      </c>
      <c r="B46" s="3">
        <v>38.45</v>
      </c>
      <c r="C46" s="3">
        <v>1.07</v>
      </c>
      <c r="E46" s="3">
        <f t="shared" si="1"/>
        <v>18.49</v>
      </c>
      <c r="F46" s="3">
        <f t="shared" si="2"/>
        <v>165.335</v>
      </c>
      <c r="G46" s="3">
        <f t="shared" si="3"/>
        <v>40.24560722</v>
      </c>
      <c r="H46" s="3">
        <f t="shared" si="4"/>
        <v>3.755786532</v>
      </c>
      <c r="I46" s="3">
        <f t="shared" si="5"/>
        <v>33.5837191</v>
      </c>
      <c r="J46" s="3">
        <f t="shared" si="6"/>
        <v>16.14988209</v>
      </c>
      <c r="K46" s="3">
        <f t="shared" si="7"/>
        <v>144.4099921</v>
      </c>
      <c r="L46" s="3">
        <f t="shared" si="8"/>
        <v>0.8734387283</v>
      </c>
      <c r="M46" s="3">
        <f t="shared" si="9"/>
        <v>2.816145755</v>
      </c>
      <c r="N46" s="3">
        <f t="shared" si="10"/>
        <v>-1.678137585</v>
      </c>
    </row>
    <row r="47" ht="14.25" customHeight="1">
      <c r="A47" s="3">
        <v>4.4</v>
      </c>
      <c r="B47" s="3">
        <v>41.34</v>
      </c>
      <c r="C47" s="3">
        <v>0.92</v>
      </c>
      <c r="E47" s="3">
        <f t="shared" si="1"/>
        <v>19.36</v>
      </c>
      <c r="F47" s="3">
        <f t="shared" si="2"/>
        <v>181.896</v>
      </c>
      <c r="G47" s="3">
        <f t="shared" si="3"/>
        <v>41.10666369</v>
      </c>
      <c r="H47" s="3">
        <f t="shared" si="4"/>
        <v>5.198487713</v>
      </c>
      <c r="I47" s="3">
        <f t="shared" si="5"/>
        <v>48.84215501</v>
      </c>
      <c r="J47" s="3">
        <f t="shared" si="6"/>
        <v>22.87334594</v>
      </c>
      <c r="K47" s="3">
        <f t="shared" si="7"/>
        <v>214.905482</v>
      </c>
      <c r="L47" s="3">
        <f t="shared" si="8"/>
        <v>1.18147448</v>
      </c>
      <c r="M47" s="3">
        <f t="shared" si="9"/>
        <v>0.06432636068</v>
      </c>
      <c r="N47" s="3">
        <f t="shared" si="10"/>
        <v>0.2536264195</v>
      </c>
    </row>
    <row r="48" ht="14.25" customHeight="1">
      <c r="A48" s="3">
        <v>4.5</v>
      </c>
      <c r="B48" s="3">
        <v>41.97</v>
      </c>
      <c r="C48" s="3">
        <v>1.01</v>
      </c>
      <c r="E48" s="3">
        <f t="shared" si="1"/>
        <v>20.25</v>
      </c>
      <c r="F48" s="3">
        <f t="shared" si="2"/>
        <v>188.865</v>
      </c>
      <c r="G48" s="3">
        <f t="shared" si="3"/>
        <v>41.96772017</v>
      </c>
      <c r="H48" s="3">
        <f t="shared" si="4"/>
        <v>4.411332222</v>
      </c>
      <c r="I48" s="3">
        <f t="shared" si="5"/>
        <v>41.14302519</v>
      </c>
      <c r="J48" s="3">
        <f t="shared" si="6"/>
        <v>19.850995</v>
      </c>
      <c r="K48" s="3">
        <f t="shared" si="7"/>
        <v>185.1436134</v>
      </c>
      <c r="L48" s="3">
        <f t="shared" si="8"/>
        <v>0.9802960494</v>
      </c>
      <c r="M48" s="3">
        <f t="shared" si="9"/>
        <v>0.000005095202587</v>
      </c>
      <c r="N48" s="3">
        <f t="shared" si="10"/>
        <v>0.002257255543</v>
      </c>
    </row>
    <row r="49" ht="14.25" customHeight="1">
      <c r="A49" s="3">
        <v>4.6</v>
      </c>
      <c r="B49" s="3">
        <v>43.46</v>
      </c>
      <c r="C49" s="3">
        <v>0.59</v>
      </c>
      <c r="E49" s="3">
        <f t="shared" si="1"/>
        <v>21.16</v>
      </c>
      <c r="F49" s="3">
        <f t="shared" si="2"/>
        <v>199.916</v>
      </c>
      <c r="G49" s="3">
        <f t="shared" si="3"/>
        <v>42.82877665</v>
      </c>
      <c r="H49" s="3">
        <f t="shared" si="4"/>
        <v>13.21459351</v>
      </c>
      <c r="I49" s="3">
        <f t="shared" si="5"/>
        <v>124.8491813</v>
      </c>
      <c r="J49" s="3">
        <f t="shared" si="6"/>
        <v>60.78713014</v>
      </c>
      <c r="K49" s="3">
        <f t="shared" si="7"/>
        <v>574.3062338</v>
      </c>
      <c r="L49" s="3">
        <f t="shared" si="8"/>
        <v>2.872737719</v>
      </c>
      <c r="M49" s="3">
        <f t="shared" si="9"/>
        <v>1.144621999</v>
      </c>
      <c r="N49" s="3">
        <f t="shared" si="10"/>
        <v>1.069870085</v>
      </c>
    </row>
    <row r="50" ht="14.25" customHeight="1">
      <c r="A50" s="3">
        <v>4.7</v>
      </c>
      <c r="B50" s="3">
        <v>43.92</v>
      </c>
      <c r="C50" s="3">
        <v>1.19</v>
      </c>
      <c r="E50" s="3">
        <f t="shared" si="1"/>
        <v>22.09</v>
      </c>
      <c r="F50" s="3">
        <f t="shared" si="2"/>
        <v>206.424</v>
      </c>
      <c r="G50" s="3">
        <f t="shared" si="3"/>
        <v>43.68983313</v>
      </c>
      <c r="H50" s="3">
        <f t="shared" si="4"/>
        <v>3.318974649</v>
      </c>
      <c r="I50" s="3">
        <f t="shared" si="5"/>
        <v>31.01475884</v>
      </c>
      <c r="J50" s="3">
        <f t="shared" si="6"/>
        <v>15.59918085</v>
      </c>
      <c r="K50" s="3">
        <f t="shared" si="7"/>
        <v>145.7693666</v>
      </c>
      <c r="L50" s="3">
        <f t="shared" si="8"/>
        <v>0.7061648189</v>
      </c>
      <c r="M50" s="3">
        <f t="shared" si="9"/>
        <v>0.03741034471</v>
      </c>
      <c r="N50" s="3">
        <f t="shared" si="10"/>
        <v>0.1934175398</v>
      </c>
    </row>
    <row r="51" ht="14.25" customHeight="1">
      <c r="A51" s="3">
        <v>4.8</v>
      </c>
      <c r="B51" s="3">
        <v>44.11</v>
      </c>
      <c r="C51" s="3">
        <v>0.91</v>
      </c>
      <c r="E51" s="3">
        <f t="shared" si="1"/>
        <v>23.04</v>
      </c>
      <c r="F51" s="3">
        <f t="shared" si="2"/>
        <v>211.728</v>
      </c>
      <c r="G51" s="3">
        <f t="shared" si="3"/>
        <v>44.55088961</v>
      </c>
      <c r="H51" s="3">
        <f t="shared" si="4"/>
        <v>5.796401401</v>
      </c>
      <c r="I51" s="3">
        <f t="shared" si="5"/>
        <v>53.26651371</v>
      </c>
      <c r="J51" s="3">
        <f t="shared" si="6"/>
        <v>27.82272672</v>
      </c>
      <c r="K51" s="3">
        <f t="shared" si="7"/>
        <v>255.6792658</v>
      </c>
      <c r="L51" s="3">
        <f t="shared" si="8"/>
        <v>1.207583625</v>
      </c>
      <c r="M51" s="3">
        <f t="shared" si="9"/>
        <v>0.2347345058</v>
      </c>
      <c r="N51" s="3">
        <f t="shared" si="10"/>
        <v>-0.484494072</v>
      </c>
    </row>
    <row r="52" ht="14.25" customHeight="1">
      <c r="A52" s="3">
        <v>4.9</v>
      </c>
      <c r="B52" s="3">
        <v>43.05</v>
      </c>
      <c r="C52" s="3">
        <v>1.33</v>
      </c>
      <c r="E52" s="3">
        <f t="shared" si="1"/>
        <v>24.01</v>
      </c>
      <c r="F52" s="3">
        <f t="shared" si="2"/>
        <v>210.945</v>
      </c>
      <c r="G52" s="3">
        <f t="shared" si="3"/>
        <v>45.41194608</v>
      </c>
      <c r="H52" s="3">
        <f t="shared" si="4"/>
        <v>2.770083102</v>
      </c>
      <c r="I52" s="3">
        <f t="shared" si="5"/>
        <v>24.33715869</v>
      </c>
      <c r="J52" s="3">
        <f t="shared" si="6"/>
        <v>13.5734072</v>
      </c>
      <c r="K52" s="3">
        <f t="shared" si="7"/>
        <v>119.2520776</v>
      </c>
      <c r="L52" s="3">
        <f t="shared" si="8"/>
        <v>0.5653230821</v>
      </c>
      <c r="M52" s="3">
        <f t="shared" si="9"/>
        <v>3.153818362</v>
      </c>
      <c r="N52" s="3">
        <f t="shared" si="10"/>
        <v>-1.775899311</v>
      </c>
    </row>
    <row r="53" ht="14.25" customHeight="1">
      <c r="A53" s="3">
        <v>5.0</v>
      </c>
      <c r="B53" s="3">
        <v>47.38</v>
      </c>
      <c r="C53" s="3">
        <v>1.3</v>
      </c>
      <c r="E53" s="3">
        <f t="shared" si="1"/>
        <v>25</v>
      </c>
      <c r="F53" s="3">
        <f t="shared" si="2"/>
        <v>236.9</v>
      </c>
      <c r="G53" s="3">
        <f t="shared" si="3"/>
        <v>46.27300256</v>
      </c>
      <c r="H53" s="3">
        <f t="shared" si="4"/>
        <v>2.958579882</v>
      </c>
      <c r="I53" s="3">
        <f t="shared" si="5"/>
        <v>28.03550296</v>
      </c>
      <c r="J53" s="3">
        <f t="shared" si="6"/>
        <v>14.79289941</v>
      </c>
      <c r="K53" s="3">
        <f t="shared" si="7"/>
        <v>140.1775148</v>
      </c>
      <c r="L53" s="3">
        <f t="shared" si="8"/>
        <v>0.5917159763</v>
      </c>
      <c r="M53" s="3">
        <f t="shared" si="9"/>
        <v>0.7251143961</v>
      </c>
      <c r="N53" s="3">
        <f t="shared" si="10"/>
        <v>0.8515364914</v>
      </c>
    </row>
    <row r="54" ht="14.25" customHeight="1">
      <c r="A54" s="3">
        <v>5.1</v>
      </c>
      <c r="B54" s="3">
        <v>46.8</v>
      </c>
      <c r="C54" s="3">
        <v>0.89</v>
      </c>
      <c r="E54" s="3">
        <f t="shared" si="1"/>
        <v>26.01</v>
      </c>
      <c r="F54" s="3">
        <f t="shared" si="2"/>
        <v>238.68</v>
      </c>
      <c r="G54" s="3">
        <f t="shared" si="3"/>
        <v>47.13405904</v>
      </c>
      <c r="H54" s="3">
        <f t="shared" si="4"/>
        <v>6.438580987</v>
      </c>
      <c r="I54" s="3">
        <f t="shared" si="5"/>
        <v>59.08344906</v>
      </c>
      <c r="J54" s="3">
        <f t="shared" si="6"/>
        <v>32.83676303</v>
      </c>
      <c r="K54" s="3">
        <f t="shared" si="7"/>
        <v>301.3255902</v>
      </c>
      <c r="L54" s="3">
        <f t="shared" si="8"/>
        <v>1.26246686</v>
      </c>
      <c r="M54" s="3">
        <f t="shared" si="9"/>
        <v>0.1408855468</v>
      </c>
      <c r="N54" s="3">
        <f t="shared" si="10"/>
        <v>-0.3753472349</v>
      </c>
    </row>
    <row r="55" ht="14.25" customHeight="1">
      <c r="A55" s="3">
        <v>5.2</v>
      </c>
      <c r="B55" s="3">
        <v>48.89</v>
      </c>
      <c r="C55" s="3">
        <v>1.2</v>
      </c>
      <c r="E55" s="3">
        <f t="shared" si="1"/>
        <v>27.04</v>
      </c>
      <c r="F55" s="3">
        <f t="shared" si="2"/>
        <v>254.228</v>
      </c>
      <c r="G55" s="3">
        <f t="shared" si="3"/>
        <v>47.99511552</v>
      </c>
      <c r="H55" s="3">
        <f t="shared" si="4"/>
        <v>3.611111111</v>
      </c>
      <c r="I55" s="3">
        <f t="shared" si="5"/>
        <v>33.95138889</v>
      </c>
      <c r="J55" s="3">
        <f t="shared" si="6"/>
        <v>18.77777778</v>
      </c>
      <c r="K55" s="3">
        <f t="shared" si="7"/>
        <v>176.5472222</v>
      </c>
      <c r="L55" s="3">
        <f t="shared" si="8"/>
        <v>0.6944444444</v>
      </c>
      <c r="M55" s="3">
        <f t="shared" si="9"/>
        <v>0.5561237764</v>
      </c>
      <c r="N55" s="3">
        <f t="shared" si="10"/>
        <v>0.7457370692</v>
      </c>
    </row>
    <row r="56" ht="14.25" customHeight="1">
      <c r="A56" s="3">
        <v>5.3</v>
      </c>
      <c r="B56" s="3">
        <v>48.5</v>
      </c>
      <c r="C56" s="3">
        <v>0.65</v>
      </c>
      <c r="E56" s="3">
        <f t="shared" si="1"/>
        <v>28.09</v>
      </c>
      <c r="F56" s="3">
        <f t="shared" si="2"/>
        <v>257.05</v>
      </c>
      <c r="G56" s="3">
        <f t="shared" si="3"/>
        <v>48.85617199</v>
      </c>
      <c r="H56" s="3">
        <f t="shared" si="4"/>
        <v>12.5443787</v>
      </c>
      <c r="I56" s="3">
        <f t="shared" si="5"/>
        <v>114.7928994</v>
      </c>
      <c r="J56" s="3">
        <f t="shared" si="6"/>
        <v>66.4852071</v>
      </c>
      <c r="K56" s="3">
        <f t="shared" si="7"/>
        <v>608.4023669</v>
      </c>
      <c r="L56" s="3">
        <f t="shared" si="8"/>
        <v>2.366863905</v>
      </c>
      <c r="M56" s="3">
        <f t="shared" si="9"/>
        <v>0.3002567808</v>
      </c>
      <c r="N56" s="3">
        <f t="shared" si="10"/>
        <v>-0.5479569151</v>
      </c>
    </row>
    <row r="57" ht="14.25" customHeight="1">
      <c r="A57" s="3">
        <v>5.4</v>
      </c>
      <c r="B57" s="3">
        <v>48.58</v>
      </c>
      <c r="C57" s="3">
        <v>1.43</v>
      </c>
      <c r="E57" s="3">
        <f t="shared" si="1"/>
        <v>29.16</v>
      </c>
      <c r="F57" s="3">
        <f t="shared" si="2"/>
        <v>262.332</v>
      </c>
      <c r="G57" s="3">
        <f t="shared" si="3"/>
        <v>49.71722847</v>
      </c>
      <c r="H57" s="3">
        <f t="shared" si="4"/>
        <v>2.640715927</v>
      </c>
      <c r="I57" s="3">
        <f t="shared" si="5"/>
        <v>23.75666292</v>
      </c>
      <c r="J57" s="3">
        <f t="shared" si="6"/>
        <v>14.25986601</v>
      </c>
      <c r="K57" s="3">
        <f t="shared" si="7"/>
        <v>128.2859798</v>
      </c>
      <c r="L57" s="3">
        <f t="shared" si="8"/>
        <v>0.489021468</v>
      </c>
      <c r="M57" s="3">
        <f t="shared" si="9"/>
        <v>0.6324458893</v>
      </c>
      <c r="N57" s="3">
        <f t="shared" si="10"/>
        <v>-0.7952646662</v>
      </c>
    </row>
    <row r="58" ht="14.25" customHeight="1">
      <c r="A58" s="3">
        <v>5.5</v>
      </c>
      <c r="B58" s="3">
        <v>51.54</v>
      </c>
      <c r="C58" s="3">
        <v>1.2</v>
      </c>
      <c r="E58" s="3">
        <f t="shared" si="1"/>
        <v>30.25</v>
      </c>
      <c r="F58" s="3">
        <f t="shared" si="2"/>
        <v>283.47</v>
      </c>
      <c r="G58" s="3">
        <f t="shared" si="3"/>
        <v>50.57828495</v>
      </c>
      <c r="H58" s="3">
        <f t="shared" si="4"/>
        <v>3.819444444</v>
      </c>
      <c r="I58" s="3">
        <f t="shared" si="5"/>
        <v>35.79166667</v>
      </c>
      <c r="J58" s="3">
        <f t="shared" si="6"/>
        <v>21.00694444</v>
      </c>
      <c r="K58" s="3">
        <f t="shared" si="7"/>
        <v>196.8541667</v>
      </c>
      <c r="L58" s="3">
        <f t="shared" si="8"/>
        <v>0.6944444444</v>
      </c>
      <c r="M58" s="3">
        <f t="shared" si="9"/>
        <v>0.6422887753</v>
      </c>
      <c r="N58" s="3">
        <f t="shared" si="10"/>
        <v>0.8014292079</v>
      </c>
    </row>
    <row r="59" ht="14.25" customHeight="1">
      <c r="A59" s="3">
        <v>5.6</v>
      </c>
      <c r="B59" s="3">
        <v>50.81</v>
      </c>
      <c r="C59" s="3">
        <v>0.66</v>
      </c>
      <c r="E59" s="3">
        <f t="shared" si="1"/>
        <v>31.36</v>
      </c>
      <c r="F59" s="3">
        <f t="shared" si="2"/>
        <v>284.536</v>
      </c>
      <c r="G59" s="3">
        <f t="shared" si="3"/>
        <v>51.43934143</v>
      </c>
      <c r="H59" s="3">
        <f t="shared" si="4"/>
        <v>12.85583104</v>
      </c>
      <c r="I59" s="3">
        <f t="shared" si="5"/>
        <v>116.6437098</v>
      </c>
      <c r="J59" s="3">
        <f t="shared" si="6"/>
        <v>71.99265381</v>
      </c>
      <c r="K59" s="3">
        <f t="shared" si="7"/>
        <v>653.204775</v>
      </c>
      <c r="L59" s="3">
        <f t="shared" si="8"/>
        <v>2.295684114</v>
      </c>
      <c r="M59" s="3">
        <f t="shared" si="9"/>
        <v>0.9092530613</v>
      </c>
      <c r="N59" s="3">
        <f t="shared" si="10"/>
        <v>-0.9535476188</v>
      </c>
    </row>
    <row r="60" ht="14.25" customHeight="1">
      <c r="A60" s="3">
        <v>5.7</v>
      </c>
      <c r="B60" s="3">
        <v>52.34</v>
      </c>
      <c r="C60" s="3">
        <v>1.08</v>
      </c>
      <c r="E60" s="3">
        <f t="shared" si="1"/>
        <v>32.49</v>
      </c>
      <c r="F60" s="3">
        <f t="shared" si="2"/>
        <v>298.338</v>
      </c>
      <c r="G60" s="3">
        <f t="shared" si="3"/>
        <v>52.30039791</v>
      </c>
      <c r="H60" s="3">
        <f t="shared" si="4"/>
        <v>4.886831276</v>
      </c>
      <c r="I60" s="3">
        <f t="shared" si="5"/>
        <v>44.87311385</v>
      </c>
      <c r="J60" s="3">
        <f t="shared" si="6"/>
        <v>27.85493827</v>
      </c>
      <c r="K60" s="3">
        <f t="shared" si="7"/>
        <v>255.776749</v>
      </c>
      <c r="L60" s="3">
        <f t="shared" si="8"/>
        <v>0.8573388203</v>
      </c>
      <c r="M60" s="3">
        <f t="shared" si="9"/>
        <v>0.001344586616</v>
      </c>
      <c r="N60" s="3">
        <f t="shared" si="10"/>
        <v>0.03666860532</v>
      </c>
    </row>
    <row r="61" ht="14.25" customHeight="1">
      <c r="A61" s="3">
        <v>5.8</v>
      </c>
      <c r="B61" s="3">
        <v>49.95</v>
      </c>
      <c r="C61" s="3">
        <v>1.42</v>
      </c>
      <c r="E61" s="3">
        <f t="shared" si="1"/>
        <v>33.64</v>
      </c>
      <c r="F61" s="3">
        <f t="shared" si="2"/>
        <v>289.71</v>
      </c>
      <c r="G61" s="3">
        <f t="shared" si="3"/>
        <v>53.16145438</v>
      </c>
      <c r="H61" s="3">
        <f t="shared" si="4"/>
        <v>2.87641341</v>
      </c>
      <c r="I61" s="3">
        <f t="shared" si="5"/>
        <v>24.77187066</v>
      </c>
      <c r="J61" s="3">
        <f t="shared" si="6"/>
        <v>16.68319778</v>
      </c>
      <c r="K61" s="3">
        <f t="shared" si="7"/>
        <v>143.6768498</v>
      </c>
      <c r="L61" s="3">
        <f t="shared" si="8"/>
        <v>0.4959333466</v>
      </c>
      <c r="M61" s="3">
        <f t="shared" si="9"/>
        <v>5.114778447</v>
      </c>
      <c r="N61" s="3">
        <f t="shared" si="10"/>
        <v>-2.261587594</v>
      </c>
    </row>
    <row r="62" ht="14.25" customHeight="1">
      <c r="A62" s="3">
        <v>5.9</v>
      </c>
      <c r="B62" s="3">
        <v>54.51</v>
      </c>
      <c r="C62" s="3">
        <v>0.6</v>
      </c>
      <c r="E62" s="3">
        <f t="shared" si="1"/>
        <v>34.81</v>
      </c>
      <c r="F62" s="3">
        <f t="shared" si="2"/>
        <v>321.609</v>
      </c>
      <c r="G62" s="3">
        <f t="shared" si="3"/>
        <v>54.02251086</v>
      </c>
      <c r="H62" s="3">
        <f t="shared" si="4"/>
        <v>16.38888889</v>
      </c>
      <c r="I62" s="3">
        <f t="shared" si="5"/>
        <v>151.4166667</v>
      </c>
      <c r="J62" s="3">
        <f t="shared" si="6"/>
        <v>96.69444444</v>
      </c>
      <c r="K62" s="3">
        <f t="shared" si="7"/>
        <v>893.3583333</v>
      </c>
      <c r="L62" s="3">
        <f t="shared" si="8"/>
        <v>2.777777778</v>
      </c>
      <c r="M62" s="3">
        <f t="shared" si="9"/>
        <v>0.6601268325</v>
      </c>
      <c r="N62" s="3">
        <f t="shared" si="10"/>
        <v>0.8124818967</v>
      </c>
    </row>
    <row r="63" ht="14.25" customHeight="1">
      <c r="A63" s="3">
        <v>6.0</v>
      </c>
      <c r="B63" s="3">
        <v>58.63</v>
      </c>
      <c r="C63" s="3">
        <v>1.47</v>
      </c>
      <c r="E63" s="3">
        <f t="shared" si="1"/>
        <v>36</v>
      </c>
      <c r="F63" s="3">
        <f t="shared" si="2"/>
        <v>351.78</v>
      </c>
      <c r="G63" s="3">
        <f t="shared" si="3"/>
        <v>54.88356734</v>
      </c>
      <c r="H63" s="3">
        <f t="shared" si="4"/>
        <v>2.776620852</v>
      </c>
      <c r="I63" s="3">
        <f t="shared" si="5"/>
        <v>27.13221343</v>
      </c>
      <c r="J63" s="3">
        <f t="shared" si="6"/>
        <v>16.65972511</v>
      </c>
      <c r="K63" s="3">
        <f t="shared" si="7"/>
        <v>162.7932806</v>
      </c>
      <c r="L63" s="3">
        <f t="shared" si="8"/>
        <v>0.4627701421</v>
      </c>
      <c r="M63" s="3">
        <f t="shared" si="9"/>
        <v>6.495329574</v>
      </c>
      <c r="N63" s="3">
        <f t="shared" si="10"/>
        <v>2.548593646</v>
      </c>
    </row>
    <row r="64" ht="14.25" customHeight="1">
      <c r="A64" s="3">
        <v>6.1</v>
      </c>
      <c r="B64" s="3">
        <v>54.55</v>
      </c>
      <c r="C64" s="3">
        <v>1.62</v>
      </c>
      <c r="E64" s="3">
        <f t="shared" si="1"/>
        <v>37.21</v>
      </c>
      <c r="F64" s="3">
        <f t="shared" si="2"/>
        <v>332.755</v>
      </c>
      <c r="G64" s="3">
        <f t="shared" si="3"/>
        <v>55.74462382</v>
      </c>
      <c r="H64" s="3">
        <f t="shared" si="4"/>
        <v>2.324340802</v>
      </c>
      <c r="I64" s="3">
        <f t="shared" si="5"/>
        <v>20.7857034</v>
      </c>
      <c r="J64" s="3">
        <f t="shared" si="6"/>
        <v>14.17847889</v>
      </c>
      <c r="K64" s="3">
        <f t="shared" si="7"/>
        <v>126.7927907</v>
      </c>
      <c r="L64" s="3">
        <f t="shared" si="8"/>
        <v>0.3810394757</v>
      </c>
      <c r="M64" s="3">
        <f t="shared" si="9"/>
        <v>0.5437913679</v>
      </c>
      <c r="N64" s="3">
        <f t="shared" si="10"/>
        <v>-0.7374221097</v>
      </c>
    </row>
    <row r="65" ht="14.25" customHeight="1">
      <c r="A65" s="3">
        <v>6.2</v>
      </c>
      <c r="B65" s="3">
        <v>56.93</v>
      </c>
      <c r="C65" s="3">
        <v>1.05</v>
      </c>
      <c r="E65" s="3">
        <f t="shared" si="1"/>
        <v>38.44</v>
      </c>
      <c r="F65" s="3">
        <f t="shared" si="2"/>
        <v>352.966</v>
      </c>
      <c r="G65" s="3">
        <f t="shared" si="3"/>
        <v>56.6056803</v>
      </c>
      <c r="H65" s="3">
        <f t="shared" si="4"/>
        <v>5.623582766</v>
      </c>
      <c r="I65" s="3">
        <f t="shared" si="5"/>
        <v>51.63718821</v>
      </c>
      <c r="J65" s="3">
        <f t="shared" si="6"/>
        <v>34.86621315</v>
      </c>
      <c r="K65" s="3">
        <f t="shared" si="7"/>
        <v>320.1505669</v>
      </c>
      <c r="L65" s="3">
        <f t="shared" si="8"/>
        <v>0.9070294785</v>
      </c>
      <c r="M65" s="3">
        <f t="shared" si="9"/>
        <v>0.09540432715</v>
      </c>
      <c r="N65" s="3">
        <f t="shared" si="10"/>
        <v>0.308875909</v>
      </c>
    </row>
    <row r="66" ht="14.25" customHeight="1">
      <c r="A66" s="3">
        <v>6.3</v>
      </c>
      <c r="B66" s="3">
        <v>57.4</v>
      </c>
      <c r="C66" s="3">
        <v>0.95</v>
      </c>
      <c r="E66" s="3">
        <f t="shared" si="1"/>
        <v>39.69</v>
      </c>
      <c r="F66" s="3">
        <f t="shared" si="2"/>
        <v>361.62</v>
      </c>
      <c r="G66" s="3">
        <f t="shared" si="3"/>
        <v>57.46673677</v>
      </c>
      <c r="H66" s="3">
        <f t="shared" si="4"/>
        <v>6.980609418</v>
      </c>
      <c r="I66" s="3">
        <f t="shared" si="5"/>
        <v>63.60110803</v>
      </c>
      <c r="J66" s="3">
        <f t="shared" si="6"/>
        <v>43.97783934</v>
      </c>
      <c r="K66" s="3">
        <f t="shared" si="7"/>
        <v>400.6869806</v>
      </c>
      <c r="L66" s="3">
        <f t="shared" si="8"/>
        <v>1.108033241</v>
      </c>
      <c r="M66" s="3">
        <f t="shared" si="9"/>
        <v>0.004934955044</v>
      </c>
      <c r="N66" s="3">
        <f t="shared" si="10"/>
        <v>-0.07024923519</v>
      </c>
    </row>
    <row r="67" ht="14.25" customHeight="1">
      <c r="A67" s="3">
        <v>6.4</v>
      </c>
      <c r="B67" s="3">
        <v>59.48</v>
      </c>
      <c r="C67" s="3">
        <v>1.04</v>
      </c>
      <c r="E67" s="3">
        <f t="shared" si="1"/>
        <v>40.96</v>
      </c>
      <c r="F67" s="3">
        <f t="shared" si="2"/>
        <v>380.672</v>
      </c>
      <c r="G67" s="3">
        <f t="shared" si="3"/>
        <v>58.32779325</v>
      </c>
      <c r="H67" s="3">
        <f t="shared" si="4"/>
        <v>5.917159763</v>
      </c>
      <c r="I67" s="3">
        <f t="shared" si="5"/>
        <v>54.99260355</v>
      </c>
      <c r="J67" s="3">
        <f t="shared" si="6"/>
        <v>37.86982249</v>
      </c>
      <c r="K67" s="3">
        <f t="shared" si="7"/>
        <v>351.9526627</v>
      </c>
      <c r="L67" s="3">
        <f t="shared" si="8"/>
        <v>0.924556213</v>
      </c>
      <c r="M67" s="3">
        <f t="shared" si="9"/>
        <v>1.227422699</v>
      </c>
      <c r="N67" s="3">
        <f t="shared" si="10"/>
        <v>1.107891105</v>
      </c>
    </row>
    <row r="68" ht="14.25" customHeight="1">
      <c r="A68" s="3">
        <v>6.5</v>
      </c>
      <c r="B68" s="3">
        <v>60.06</v>
      </c>
      <c r="C68" s="3">
        <v>0.8</v>
      </c>
      <c r="E68" s="3">
        <f t="shared" si="1"/>
        <v>42.25</v>
      </c>
      <c r="F68" s="3">
        <f t="shared" si="2"/>
        <v>390.39</v>
      </c>
      <c r="G68" s="3">
        <f t="shared" si="3"/>
        <v>59.18884973</v>
      </c>
      <c r="H68" s="3">
        <f t="shared" si="4"/>
        <v>10.15625</v>
      </c>
      <c r="I68" s="3">
        <f t="shared" si="5"/>
        <v>93.84375</v>
      </c>
      <c r="J68" s="3">
        <f t="shared" si="6"/>
        <v>66.015625</v>
      </c>
      <c r="K68" s="3">
        <f t="shared" si="7"/>
        <v>609.984375</v>
      </c>
      <c r="L68" s="3">
        <f t="shared" si="8"/>
        <v>1.5625</v>
      </c>
      <c r="M68" s="3">
        <f t="shared" si="9"/>
        <v>1.185785616</v>
      </c>
      <c r="N68" s="3">
        <f t="shared" si="10"/>
        <v>1.088937839</v>
      </c>
    </row>
    <row r="69" ht="14.25" customHeight="1">
      <c r="A69" s="3">
        <v>6.6</v>
      </c>
      <c r="B69" s="3">
        <v>60.84</v>
      </c>
      <c r="C69" s="3">
        <v>1.74</v>
      </c>
      <c r="E69" s="3">
        <f t="shared" si="1"/>
        <v>43.56</v>
      </c>
      <c r="F69" s="3">
        <f t="shared" si="2"/>
        <v>401.544</v>
      </c>
      <c r="G69" s="3">
        <f t="shared" si="3"/>
        <v>60.04990621</v>
      </c>
      <c r="H69" s="3">
        <f t="shared" si="4"/>
        <v>2.179944511</v>
      </c>
      <c r="I69" s="3">
        <f t="shared" si="5"/>
        <v>20.09512485</v>
      </c>
      <c r="J69" s="3">
        <f t="shared" si="6"/>
        <v>14.38763377</v>
      </c>
      <c r="K69" s="3">
        <f t="shared" si="7"/>
        <v>132.627824</v>
      </c>
      <c r="L69" s="3">
        <f t="shared" si="8"/>
        <v>0.3302946228</v>
      </c>
      <c r="M69" s="3">
        <f t="shared" si="9"/>
        <v>0.2061858243</v>
      </c>
      <c r="N69" s="3">
        <f t="shared" si="10"/>
        <v>0.4540768925</v>
      </c>
    </row>
    <row r="70" ht="14.25" customHeight="1">
      <c r="A70" s="3">
        <v>6.7</v>
      </c>
      <c r="B70" s="3">
        <v>61.39</v>
      </c>
      <c r="C70" s="3">
        <v>1.13</v>
      </c>
      <c r="E70" s="3">
        <f t="shared" si="1"/>
        <v>44.89</v>
      </c>
      <c r="F70" s="3">
        <f t="shared" si="2"/>
        <v>411.313</v>
      </c>
      <c r="G70" s="3">
        <f t="shared" si="3"/>
        <v>60.91096268</v>
      </c>
      <c r="H70" s="3">
        <f t="shared" si="4"/>
        <v>5.247082779</v>
      </c>
      <c r="I70" s="3">
        <f t="shared" si="5"/>
        <v>48.07737489</v>
      </c>
      <c r="J70" s="3">
        <f t="shared" si="6"/>
        <v>35.15545462</v>
      </c>
      <c r="K70" s="3">
        <f t="shared" si="7"/>
        <v>322.1184118</v>
      </c>
      <c r="L70" s="3">
        <f t="shared" si="8"/>
        <v>0.7831466834</v>
      </c>
      <c r="M70" s="3">
        <f t="shared" si="9"/>
        <v>0.1797139551</v>
      </c>
      <c r="N70" s="3">
        <f t="shared" si="10"/>
        <v>0.4239268275</v>
      </c>
    </row>
    <row r="71" ht="14.25" customHeight="1">
      <c r="A71" s="3">
        <v>6.8</v>
      </c>
      <c r="B71" s="3">
        <v>62.06</v>
      </c>
      <c r="C71" s="3">
        <v>1.82</v>
      </c>
      <c r="E71" s="3">
        <f t="shared" si="1"/>
        <v>46.24</v>
      </c>
      <c r="F71" s="3">
        <f t="shared" si="2"/>
        <v>422.008</v>
      </c>
      <c r="G71" s="3">
        <f t="shared" si="3"/>
        <v>61.77201916</v>
      </c>
      <c r="H71" s="3">
        <f t="shared" si="4"/>
        <v>2.052892163</v>
      </c>
      <c r="I71" s="3">
        <f t="shared" si="5"/>
        <v>18.73565994</v>
      </c>
      <c r="J71" s="3">
        <f t="shared" si="6"/>
        <v>13.95966671</v>
      </c>
      <c r="K71" s="3">
        <f t="shared" si="7"/>
        <v>127.4024876</v>
      </c>
      <c r="L71" s="3">
        <f t="shared" si="8"/>
        <v>0.3018959063</v>
      </c>
      <c r="M71" s="3">
        <f t="shared" si="9"/>
        <v>0.02503712191</v>
      </c>
      <c r="N71" s="3">
        <f t="shared" si="10"/>
        <v>0.1582312293</v>
      </c>
    </row>
    <row r="72" ht="14.25" customHeight="1">
      <c r="A72" s="3">
        <v>6.9</v>
      </c>
      <c r="B72" s="3">
        <v>63.3</v>
      </c>
      <c r="C72" s="3">
        <v>0.93</v>
      </c>
      <c r="E72" s="3">
        <f t="shared" si="1"/>
        <v>47.61</v>
      </c>
      <c r="F72" s="3">
        <f t="shared" si="2"/>
        <v>436.77</v>
      </c>
      <c r="G72" s="3">
        <f t="shared" si="3"/>
        <v>62.63307564</v>
      </c>
      <c r="H72" s="3">
        <f t="shared" si="4"/>
        <v>7.977800902</v>
      </c>
      <c r="I72" s="3">
        <f t="shared" si="5"/>
        <v>73.18765175</v>
      </c>
      <c r="J72" s="3">
        <f t="shared" si="6"/>
        <v>55.04682622</v>
      </c>
      <c r="K72" s="3">
        <f t="shared" si="7"/>
        <v>504.9947971</v>
      </c>
      <c r="L72" s="3">
        <f t="shared" si="8"/>
        <v>1.156203029</v>
      </c>
      <c r="M72" s="3">
        <f t="shared" si="9"/>
        <v>0.5142653499</v>
      </c>
      <c r="N72" s="3">
        <f t="shared" si="10"/>
        <v>0.7171229671</v>
      </c>
    </row>
    <row r="73" ht="14.25" customHeight="1">
      <c r="A73" s="3">
        <v>7.0</v>
      </c>
      <c r="B73" s="3">
        <v>64.16</v>
      </c>
      <c r="C73" s="3">
        <v>0.88</v>
      </c>
      <c r="E73" s="3">
        <f t="shared" si="1"/>
        <v>49</v>
      </c>
      <c r="F73" s="3">
        <f t="shared" si="2"/>
        <v>449.12</v>
      </c>
      <c r="G73" s="3">
        <f t="shared" si="3"/>
        <v>63.49413212</v>
      </c>
      <c r="H73" s="3">
        <f t="shared" si="4"/>
        <v>9.039256198</v>
      </c>
      <c r="I73" s="3">
        <f t="shared" si="5"/>
        <v>82.85123967</v>
      </c>
      <c r="J73" s="3">
        <f t="shared" si="6"/>
        <v>63.27479339</v>
      </c>
      <c r="K73" s="3">
        <f t="shared" si="7"/>
        <v>579.9586777</v>
      </c>
      <c r="L73" s="3">
        <f t="shared" si="8"/>
        <v>1.291322314</v>
      </c>
      <c r="M73" s="3">
        <f t="shared" si="9"/>
        <v>0.5725465337</v>
      </c>
      <c r="N73" s="3">
        <f t="shared" si="10"/>
        <v>0.7566680472</v>
      </c>
    </row>
    <row r="74" ht="14.25" customHeight="1">
      <c r="A74" s="3">
        <v>7.1</v>
      </c>
      <c r="B74" s="3">
        <v>65.86</v>
      </c>
      <c r="C74" s="3">
        <v>1.84</v>
      </c>
      <c r="E74" s="3">
        <f t="shared" si="1"/>
        <v>50.41</v>
      </c>
      <c r="F74" s="3">
        <f t="shared" si="2"/>
        <v>467.606</v>
      </c>
      <c r="G74" s="3">
        <f t="shared" si="3"/>
        <v>64.3551886</v>
      </c>
      <c r="H74" s="3">
        <f t="shared" si="4"/>
        <v>2.097117202</v>
      </c>
      <c r="I74" s="3">
        <f t="shared" si="5"/>
        <v>19.45297732</v>
      </c>
      <c r="J74" s="3">
        <f t="shared" si="6"/>
        <v>14.88953214</v>
      </c>
      <c r="K74" s="3">
        <f t="shared" si="7"/>
        <v>138.1161389</v>
      </c>
      <c r="L74" s="3">
        <f t="shared" si="8"/>
        <v>0.29536862</v>
      </c>
      <c r="M74" s="3">
        <f t="shared" si="9"/>
        <v>0.6688496457</v>
      </c>
      <c r="N74" s="3">
        <f t="shared" si="10"/>
        <v>0.8178322846</v>
      </c>
    </row>
    <row r="75" ht="14.25" customHeight="1">
      <c r="A75" s="3">
        <v>7.2</v>
      </c>
      <c r="B75" s="3">
        <v>63.0</v>
      </c>
      <c r="C75" s="3">
        <v>1.81</v>
      </c>
      <c r="E75" s="3">
        <f t="shared" si="1"/>
        <v>51.84</v>
      </c>
      <c r="F75" s="3">
        <f t="shared" si="2"/>
        <v>453.6</v>
      </c>
      <c r="G75" s="3">
        <f t="shared" si="3"/>
        <v>65.21624507</v>
      </c>
      <c r="H75" s="3">
        <f t="shared" si="4"/>
        <v>2.197735112</v>
      </c>
      <c r="I75" s="3">
        <f t="shared" si="5"/>
        <v>19.23018223</v>
      </c>
      <c r="J75" s="3">
        <f t="shared" si="6"/>
        <v>15.82369281</v>
      </c>
      <c r="K75" s="3">
        <f t="shared" si="7"/>
        <v>138.457312</v>
      </c>
      <c r="L75" s="3">
        <f t="shared" si="8"/>
        <v>0.3052409878</v>
      </c>
      <c r="M75" s="3">
        <f t="shared" si="9"/>
        <v>1.49926505</v>
      </c>
      <c r="N75" s="3">
        <f t="shared" si="10"/>
        <v>-1.224444792</v>
      </c>
    </row>
    <row r="76" ht="14.25" customHeight="1">
      <c r="A76" s="3">
        <v>7.3</v>
      </c>
      <c r="B76" s="3">
        <v>63.38</v>
      </c>
      <c r="C76" s="3">
        <v>1.79</v>
      </c>
      <c r="E76" s="3">
        <f t="shared" si="1"/>
        <v>53.29</v>
      </c>
      <c r="F76" s="3">
        <f t="shared" si="2"/>
        <v>462.674</v>
      </c>
      <c r="G76" s="3">
        <f t="shared" si="3"/>
        <v>66.07730155</v>
      </c>
      <c r="H76" s="3">
        <f t="shared" si="4"/>
        <v>2.278330889</v>
      </c>
      <c r="I76" s="3">
        <f t="shared" si="5"/>
        <v>19.78090571</v>
      </c>
      <c r="J76" s="3">
        <f t="shared" si="6"/>
        <v>16.63181549</v>
      </c>
      <c r="K76" s="3">
        <f t="shared" si="7"/>
        <v>144.4006117</v>
      </c>
      <c r="L76" s="3">
        <f t="shared" si="8"/>
        <v>0.3121001217</v>
      </c>
      <c r="M76" s="3">
        <f t="shared" si="9"/>
        <v>2.270664356</v>
      </c>
      <c r="N76" s="3">
        <f t="shared" si="10"/>
        <v>-1.506872375</v>
      </c>
    </row>
    <row r="77" ht="14.25" customHeight="1">
      <c r="A77" s="3">
        <v>7.4</v>
      </c>
      <c r="B77" s="3">
        <v>67.36</v>
      </c>
      <c r="C77" s="3">
        <v>1.23</v>
      </c>
      <c r="E77" s="3">
        <f t="shared" si="1"/>
        <v>54.76</v>
      </c>
      <c r="F77" s="3">
        <f t="shared" si="2"/>
        <v>498.464</v>
      </c>
      <c r="G77" s="3">
        <f t="shared" si="3"/>
        <v>66.93835803</v>
      </c>
      <c r="H77" s="3">
        <f t="shared" si="4"/>
        <v>4.891268425</v>
      </c>
      <c r="I77" s="3">
        <f t="shared" si="5"/>
        <v>44.52376231</v>
      </c>
      <c r="J77" s="3">
        <f t="shared" si="6"/>
        <v>36.19538634</v>
      </c>
      <c r="K77" s="3">
        <f t="shared" si="7"/>
        <v>329.4758411</v>
      </c>
      <c r="L77" s="3">
        <f t="shared" si="8"/>
        <v>0.6609822196</v>
      </c>
      <c r="M77" s="3">
        <f t="shared" si="9"/>
        <v>0.1175107085</v>
      </c>
      <c r="N77" s="3">
        <f t="shared" si="10"/>
        <v>0.3427983497</v>
      </c>
    </row>
    <row r="78" ht="14.25" customHeight="1">
      <c r="A78" s="3">
        <v>7.5</v>
      </c>
      <c r="B78" s="3">
        <v>69.21</v>
      </c>
      <c r="C78" s="3">
        <v>1.45</v>
      </c>
      <c r="E78" s="3">
        <f t="shared" si="1"/>
        <v>56.25</v>
      </c>
      <c r="F78" s="3">
        <f t="shared" si="2"/>
        <v>519.075</v>
      </c>
      <c r="G78" s="3">
        <f t="shared" si="3"/>
        <v>67.79941451</v>
      </c>
      <c r="H78" s="3">
        <f t="shared" si="4"/>
        <v>3.567181926</v>
      </c>
      <c r="I78" s="3">
        <f t="shared" si="5"/>
        <v>32.91795482</v>
      </c>
      <c r="J78" s="3">
        <f t="shared" si="6"/>
        <v>26.75386445</v>
      </c>
      <c r="K78" s="3">
        <f t="shared" si="7"/>
        <v>246.8846611</v>
      </c>
      <c r="L78" s="3">
        <f t="shared" si="8"/>
        <v>0.4756242568</v>
      </c>
      <c r="M78" s="3">
        <f t="shared" si="9"/>
        <v>0.9463740456</v>
      </c>
      <c r="N78" s="3">
        <f t="shared" si="10"/>
        <v>0.9728175808</v>
      </c>
    </row>
    <row r="79" ht="14.25" customHeight="1">
      <c r="A79" s="3">
        <v>7.6</v>
      </c>
      <c r="B79" s="3">
        <v>67.28</v>
      </c>
      <c r="C79" s="3">
        <v>1.84</v>
      </c>
      <c r="E79" s="3">
        <f t="shared" si="1"/>
        <v>57.76</v>
      </c>
      <c r="F79" s="3">
        <f t="shared" si="2"/>
        <v>511.328</v>
      </c>
      <c r="G79" s="3">
        <f t="shared" si="3"/>
        <v>68.66047099</v>
      </c>
      <c r="H79" s="3">
        <f t="shared" si="4"/>
        <v>2.244801512</v>
      </c>
      <c r="I79" s="3">
        <f t="shared" si="5"/>
        <v>19.87240076</v>
      </c>
      <c r="J79" s="3">
        <f t="shared" si="6"/>
        <v>17.06049149</v>
      </c>
      <c r="K79" s="3">
        <f t="shared" si="7"/>
        <v>151.0302457</v>
      </c>
      <c r="L79" s="3">
        <f t="shared" si="8"/>
        <v>0.29536862</v>
      </c>
      <c r="M79" s="3">
        <f t="shared" si="9"/>
        <v>0.5628840212</v>
      </c>
      <c r="N79" s="3">
        <f t="shared" si="10"/>
        <v>-0.7502559705</v>
      </c>
    </row>
    <row r="80" ht="14.25" customHeight="1">
      <c r="A80" s="3">
        <v>7.7</v>
      </c>
      <c r="B80" s="3">
        <v>67.68</v>
      </c>
      <c r="C80" s="3">
        <v>1.14</v>
      </c>
      <c r="E80" s="3">
        <f t="shared" si="1"/>
        <v>59.29</v>
      </c>
      <c r="F80" s="3">
        <f t="shared" si="2"/>
        <v>521.136</v>
      </c>
      <c r="G80" s="3">
        <f t="shared" si="3"/>
        <v>69.52152746</v>
      </c>
      <c r="H80" s="3">
        <f t="shared" si="4"/>
        <v>5.924899969</v>
      </c>
      <c r="I80" s="3">
        <f t="shared" si="5"/>
        <v>52.07756233</v>
      </c>
      <c r="J80" s="3">
        <f t="shared" si="6"/>
        <v>45.62172976</v>
      </c>
      <c r="K80" s="3">
        <f t="shared" si="7"/>
        <v>400.9972299</v>
      </c>
      <c r="L80" s="3">
        <f t="shared" si="8"/>
        <v>0.7694675285</v>
      </c>
      <c r="M80" s="3">
        <f t="shared" si="9"/>
        <v>2.609436287</v>
      </c>
      <c r="N80" s="3">
        <f t="shared" si="10"/>
        <v>-1.615374968</v>
      </c>
    </row>
    <row r="81" ht="14.25" customHeight="1">
      <c r="A81" s="3">
        <v>7.8</v>
      </c>
      <c r="B81" s="3">
        <v>70.55</v>
      </c>
      <c r="C81" s="3">
        <v>1.34</v>
      </c>
      <c r="E81" s="3">
        <f t="shared" si="1"/>
        <v>60.84</v>
      </c>
      <c r="F81" s="3">
        <f t="shared" si="2"/>
        <v>550.29</v>
      </c>
      <c r="G81" s="3">
        <f t="shared" si="3"/>
        <v>70.38258394</v>
      </c>
      <c r="H81" s="3">
        <f t="shared" si="4"/>
        <v>4.343951882</v>
      </c>
      <c r="I81" s="3">
        <f t="shared" si="5"/>
        <v>39.29048786</v>
      </c>
      <c r="J81" s="3">
        <f t="shared" si="6"/>
        <v>33.88282468</v>
      </c>
      <c r="K81" s="3">
        <f t="shared" si="7"/>
        <v>306.4658053</v>
      </c>
      <c r="L81" s="3">
        <f t="shared" si="8"/>
        <v>0.556916908</v>
      </c>
      <c r="M81" s="3">
        <f t="shared" si="9"/>
        <v>0.01560934322</v>
      </c>
      <c r="N81" s="3">
        <f t="shared" si="10"/>
        <v>0.1249373572</v>
      </c>
    </row>
    <row r="82" ht="14.25" customHeight="1">
      <c r="A82" s="3">
        <v>7.9</v>
      </c>
      <c r="B82" s="3">
        <v>69.97</v>
      </c>
      <c r="C82" s="3">
        <v>1.93</v>
      </c>
      <c r="E82" s="3">
        <f t="shared" si="1"/>
        <v>62.41</v>
      </c>
      <c r="F82" s="3">
        <f t="shared" si="2"/>
        <v>552.763</v>
      </c>
      <c r="G82" s="3">
        <f t="shared" si="3"/>
        <v>71.24364042</v>
      </c>
      <c r="H82" s="3">
        <f t="shared" si="4"/>
        <v>2.120862305</v>
      </c>
      <c r="I82" s="3">
        <f t="shared" si="5"/>
        <v>18.7843969</v>
      </c>
      <c r="J82" s="3">
        <f t="shared" si="6"/>
        <v>16.75481221</v>
      </c>
      <c r="K82" s="3">
        <f t="shared" si="7"/>
        <v>148.3967355</v>
      </c>
      <c r="L82" s="3">
        <f t="shared" si="8"/>
        <v>0.2684635829</v>
      </c>
      <c r="M82" s="3">
        <f t="shared" si="9"/>
        <v>0.4354908635</v>
      </c>
      <c r="N82" s="3">
        <f t="shared" si="10"/>
        <v>-0.6599173157</v>
      </c>
    </row>
    <row r="83" ht="14.25" customHeight="1">
      <c r="A83" s="3">
        <v>8.0</v>
      </c>
      <c r="B83" s="3">
        <v>73.34</v>
      </c>
      <c r="C83" s="3">
        <v>1.04</v>
      </c>
      <c r="E83" s="3">
        <f t="shared" si="1"/>
        <v>64</v>
      </c>
      <c r="F83" s="3">
        <f t="shared" si="2"/>
        <v>586.72</v>
      </c>
      <c r="G83" s="3">
        <f t="shared" si="3"/>
        <v>72.1046969</v>
      </c>
      <c r="H83" s="3">
        <f t="shared" si="4"/>
        <v>7.396449704</v>
      </c>
      <c r="I83" s="3">
        <f t="shared" si="5"/>
        <v>67.80695266</v>
      </c>
      <c r="J83" s="3">
        <f t="shared" si="6"/>
        <v>59.17159763</v>
      </c>
      <c r="K83" s="3">
        <f t="shared" si="7"/>
        <v>542.4556213</v>
      </c>
      <c r="L83" s="3">
        <f t="shared" si="8"/>
        <v>0.924556213</v>
      </c>
      <c r="M83" s="3">
        <f t="shared" si="9"/>
        <v>1.410848517</v>
      </c>
      <c r="N83" s="3">
        <f t="shared" si="10"/>
        <v>1.187791445</v>
      </c>
    </row>
    <row r="84" ht="14.25" customHeight="1">
      <c r="A84" s="3">
        <v>8.1</v>
      </c>
      <c r="B84" s="3">
        <v>72.82</v>
      </c>
      <c r="C84" s="3">
        <v>0.91</v>
      </c>
      <c r="E84" s="3">
        <f t="shared" si="1"/>
        <v>65.61</v>
      </c>
      <c r="F84" s="3">
        <f t="shared" si="2"/>
        <v>589.842</v>
      </c>
      <c r="G84" s="3">
        <f t="shared" si="3"/>
        <v>72.96575337</v>
      </c>
      <c r="H84" s="3">
        <f t="shared" si="4"/>
        <v>9.781427364</v>
      </c>
      <c r="I84" s="3">
        <f t="shared" si="5"/>
        <v>87.93623958</v>
      </c>
      <c r="J84" s="3">
        <f t="shared" si="6"/>
        <v>79.22956165</v>
      </c>
      <c r="K84" s="3">
        <f t="shared" si="7"/>
        <v>712.2835406</v>
      </c>
      <c r="L84" s="3">
        <f t="shared" si="8"/>
        <v>1.207583625</v>
      </c>
      <c r="M84" s="3">
        <f t="shared" si="9"/>
        <v>0.02565396246</v>
      </c>
      <c r="N84" s="3">
        <f t="shared" si="10"/>
        <v>-0.1601685439</v>
      </c>
    </row>
    <row r="85" ht="14.25" customHeight="1">
      <c r="A85" s="3">
        <v>8.2</v>
      </c>
      <c r="B85" s="3">
        <v>74.32</v>
      </c>
      <c r="C85" s="3">
        <v>0.85</v>
      </c>
      <c r="E85" s="3">
        <f t="shared" si="1"/>
        <v>67.24</v>
      </c>
      <c r="F85" s="3">
        <f t="shared" si="2"/>
        <v>609.424</v>
      </c>
      <c r="G85" s="3">
        <f t="shared" si="3"/>
        <v>73.82680985</v>
      </c>
      <c r="H85" s="3">
        <f t="shared" si="4"/>
        <v>11.34948097</v>
      </c>
      <c r="I85" s="3">
        <f t="shared" si="5"/>
        <v>102.8650519</v>
      </c>
      <c r="J85" s="3">
        <f t="shared" si="6"/>
        <v>93.06574394</v>
      </c>
      <c r="K85" s="3">
        <f t="shared" si="7"/>
        <v>843.4934256</v>
      </c>
      <c r="L85" s="3">
        <f t="shared" si="8"/>
        <v>1.384083045</v>
      </c>
      <c r="M85" s="3">
        <f t="shared" si="9"/>
        <v>0.336659545</v>
      </c>
      <c r="N85" s="3">
        <f t="shared" si="10"/>
        <v>0.5802237026</v>
      </c>
    </row>
    <row r="86" ht="14.25" customHeight="1">
      <c r="A86" s="3">
        <v>8.3</v>
      </c>
      <c r="B86" s="3">
        <v>73.2</v>
      </c>
      <c r="C86" s="3">
        <v>2.04</v>
      </c>
      <c r="E86" s="3">
        <f t="shared" si="1"/>
        <v>68.89</v>
      </c>
      <c r="F86" s="3">
        <f t="shared" si="2"/>
        <v>607.56</v>
      </c>
      <c r="G86" s="3">
        <f t="shared" si="3"/>
        <v>74.68786633</v>
      </c>
      <c r="H86" s="3">
        <f t="shared" si="4"/>
        <v>1.994425221</v>
      </c>
      <c r="I86" s="3">
        <f t="shared" si="5"/>
        <v>17.5893887</v>
      </c>
      <c r="J86" s="3">
        <f t="shared" si="6"/>
        <v>16.55372933</v>
      </c>
      <c r="K86" s="3">
        <f t="shared" si="7"/>
        <v>145.9919262</v>
      </c>
      <c r="L86" s="3">
        <f t="shared" si="8"/>
        <v>0.2402921953</v>
      </c>
      <c r="M86" s="3">
        <f t="shared" si="9"/>
        <v>0.5319459386</v>
      </c>
      <c r="N86" s="3">
        <f t="shared" si="10"/>
        <v>-0.7293462405</v>
      </c>
    </row>
    <row r="87" ht="14.25" customHeight="1">
      <c r="A87" s="3">
        <v>8.4</v>
      </c>
      <c r="B87" s="3">
        <v>71.51</v>
      </c>
      <c r="C87" s="3">
        <v>2.24</v>
      </c>
      <c r="E87" s="3">
        <f t="shared" si="1"/>
        <v>70.56</v>
      </c>
      <c r="F87" s="3">
        <f t="shared" si="2"/>
        <v>600.684</v>
      </c>
      <c r="G87" s="3">
        <f t="shared" si="3"/>
        <v>75.54892281</v>
      </c>
      <c r="H87" s="3">
        <f t="shared" si="4"/>
        <v>1.674107143</v>
      </c>
      <c r="I87" s="3">
        <f t="shared" si="5"/>
        <v>14.25183355</v>
      </c>
      <c r="J87" s="3">
        <f t="shared" si="6"/>
        <v>14.0625</v>
      </c>
      <c r="K87" s="3">
        <f t="shared" si="7"/>
        <v>119.7154018</v>
      </c>
      <c r="L87" s="3">
        <f t="shared" si="8"/>
        <v>0.1992984694</v>
      </c>
      <c r="M87" s="3">
        <f t="shared" si="9"/>
        <v>3.251135494</v>
      </c>
      <c r="N87" s="3">
        <f t="shared" si="10"/>
        <v>-1.80309054</v>
      </c>
    </row>
    <row r="88" ht="14.25" customHeight="1">
      <c r="A88" s="3">
        <v>8.5</v>
      </c>
      <c r="B88" s="3">
        <v>74.35</v>
      </c>
      <c r="C88" s="3">
        <v>1.97</v>
      </c>
      <c r="E88" s="3">
        <f t="shared" si="1"/>
        <v>72.25</v>
      </c>
      <c r="F88" s="3">
        <f t="shared" si="2"/>
        <v>631.975</v>
      </c>
      <c r="G88" s="3">
        <f t="shared" si="3"/>
        <v>76.40997929</v>
      </c>
      <c r="H88" s="3">
        <f t="shared" si="4"/>
        <v>2.19021361</v>
      </c>
      <c r="I88" s="3">
        <f t="shared" si="5"/>
        <v>19.15792728</v>
      </c>
      <c r="J88" s="3">
        <f t="shared" si="6"/>
        <v>18.61681569</v>
      </c>
      <c r="K88" s="3">
        <f t="shared" si="7"/>
        <v>162.8423819</v>
      </c>
      <c r="L88" s="3">
        <f t="shared" si="8"/>
        <v>0.2576721894</v>
      </c>
      <c r="M88" s="3">
        <f t="shared" si="9"/>
        <v>1.093435713</v>
      </c>
      <c r="N88" s="3">
        <f t="shared" si="10"/>
        <v>-1.045674765</v>
      </c>
    </row>
    <row r="89" ht="14.25" customHeight="1">
      <c r="A89" s="3">
        <v>8.6</v>
      </c>
      <c r="B89" s="3">
        <v>80.55</v>
      </c>
      <c r="C89" s="3">
        <v>2.19</v>
      </c>
      <c r="E89" s="3">
        <f t="shared" si="1"/>
        <v>73.96</v>
      </c>
      <c r="F89" s="3">
        <f t="shared" si="2"/>
        <v>692.73</v>
      </c>
      <c r="G89" s="3">
        <f t="shared" si="3"/>
        <v>77.27103576</v>
      </c>
      <c r="H89" s="3">
        <f t="shared" si="4"/>
        <v>1.79312358</v>
      </c>
      <c r="I89" s="3">
        <f t="shared" si="5"/>
        <v>16.79489585</v>
      </c>
      <c r="J89" s="3">
        <f t="shared" si="6"/>
        <v>15.42086278</v>
      </c>
      <c r="K89" s="3">
        <f t="shared" si="7"/>
        <v>144.4361043</v>
      </c>
      <c r="L89" s="3">
        <f t="shared" si="8"/>
        <v>0.2085027418</v>
      </c>
      <c r="M89" s="3">
        <f t="shared" si="9"/>
        <v>2.241739426</v>
      </c>
      <c r="N89" s="3">
        <f t="shared" si="10"/>
        <v>1.497243943</v>
      </c>
    </row>
    <row r="90" ht="14.25" customHeight="1">
      <c r="A90" s="3">
        <v>8.7</v>
      </c>
      <c r="B90" s="3">
        <v>79.98</v>
      </c>
      <c r="C90" s="3">
        <v>1.14</v>
      </c>
      <c r="E90" s="3">
        <f t="shared" si="1"/>
        <v>75.69</v>
      </c>
      <c r="F90" s="3">
        <f t="shared" si="2"/>
        <v>695.826</v>
      </c>
      <c r="G90" s="3">
        <f t="shared" si="3"/>
        <v>78.13209224</v>
      </c>
      <c r="H90" s="3">
        <f t="shared" si="4"/>
        <v>6.694367498</v>
      </c>
      <c r="I90" s="3">
        <f t="shared" si="5"/>
        <v>61.54201293</v>
      </c>
      <c r="J90" s="3">
        <f t="shared" si="6"/>
        <v>58.24099723</v>
      </c>
      <c r="K90" s="3">
        <f t="shared" si="7"/>
        <v>535.4155125</v>
      </c>
      <c r="L90" s="3">
        <f t="shared" si="8"/>
        <v>0.7694675285</v>
      </c>
      <c r="M90" s="3">
        <f t="shared" si="9"/>
        <v>2.627549309</v>
      </c>
      <c r="N90" s="3">
        <f t="shared" si="10"/>
        <v>1.620971717</v>
      </c>
    </row>
    <row r="91" ht="14.25" customHeight="1">
      <c r="A91" s="3">
        <v>8.8</v>
      </c>
      <c r="B91" s="3">
        <v>80.39</v>
      </c>
      <c r="C91" s="3">
        <v>1.54</v>
      </c>
      <c r="E91" s="3">
        <f t="shared" si="1"/>
        <v>77.44</v>
      </c>
      <c r="F91" s="3">
        <f t="shared" si="2"/>
        <v>707.432</v>
      </c>
      <c r="G91" s="3">
        <f t="shared" si="3"/>
        <v>78.99314872</v>
      </c>
      <c r="H91" s="3">
        <f t="shared" si="4"/>
        <v>3.710575139</v>
      </c>
      <c r="I91" s="3">
        <f t="shared" si="5"/>
        <v>33.89694721</v>
      </c>
      <c r="J91" s="3">
        <f t="shared" si="6"/>
        <v>32.65306122</v>
      </c>
      <c r="K91" s="3">
        <f t="shared" si="7"/>
        <v>298.2931354</v>
      </c>
      <c r="L91" s="3">
        <f t="shared" si="8"/>
        <v>0.4216562658</v>
      </c>
      <c r="M91" s="3">
        <f t="shared" si="9"/>
        <v>0.8227329644</v>
      </c>
      <c r="N91" s="3">
        <f t="shared" si="10"/>
        <v>0.9070462857</v>
      </c>
    </row>
    <row r="92" ht="14.25" customHeight="1">
      <c r="A92" s="3">
        <v>8.9</v>
      </c>
      <c r="B92" s="3">
        <v>79.08</v>
      </c>
      <c r="C92" s="3">
        <v>1.21</v>
      </c>
      <c r="E92" s="3">
        <f t="shared" si="1"/>
        <v>79.21</v>
      </c>
      <c r="F92" s="3">
        <f t="shared" si="2"/>
        <v>703.812</v>
      </c>
      <c r="G92" s="3">
        <f t="shared" si="3"/>
        <v>79.8542052</v>
      </c>
      <c r="H92" s="3">
        <f t="shared" si="4"/>
        <v>6.078819753</v>
      </c>
      <c r="I92" s="3">
        <f t="shared" si="5"/>
        <v>54.01270405</v>
      </c>
      <c r="J92" s="3">
        <f t="shared" si="6"/>
        <v>54.1014958</v>
      </c>
      <c r="K92" s="3">
        <f t="shared" si="7"/>
        <v>480.713066</v>
      </c>
      <c r="L92" s="3">
        <f t="shared" si="8"/>
        <v>0.6830134554</v>
      </c>
      <c r="M92" s="3">
        <f t="shared" si="9"/>
        <v>0.4093939542</v>
      </c>
      <c r="N92" s="3">
        <f t="shared" si="10"/>
        <v>-0.6398390065</v>
      </c>
    </row>
    <row r="93" ht="14.25" customHeight="1">
      <c r="A93" s="3">
        <v>9.0</v>
      </c>
      <c r="B93" s="3">
        <v>79.8</v>
      </c>
      <c r="C93" s="3">
        <v>1.72</v>
      </c>
      <c r="E93" s="3">
        <f t="shared" si="1"/>
        <v>81</v>
      </c>
      <c r="F93" s="3">
        <f t="shared" si="2"/>
        <v>718.2</v>
      </c>
      <c r="G93" s="3">
        <f t="shared" si="3"/>
        <v>80.71526168</v>
      </c>
      <c r="H93" s="3">
        <f t="shared" si="4"/>
        <v>3.042184965</v>
      </c>
      <c r="I93" s="3">
        <f t="shared" si="5"/>
        <v>26.97404002</v>
      </c>
      <c r="J93" s="3">
        <f t="shared" si="6"/>
        <v>27.37966468</v>
      </c>
      <c r="K93" s="3">
        <f t="shared" si="7"/>
        <v>242.7663602</v>
      </c>
      <c r="L93" s="3">
        <f t="shared" si="8"/>
        <v>0.3380205516</v>
      </c>
      <c r="M93" s="3">
        <f t="shared" si="9"/>
        <v>0.2831611462</v>
      </c>
      <c r="N93" s="3">
        <f t="shared" si="10"/>
        <v>-0.5321288812</v>
      </c>
    </row>
    <row r="94" ht="14.25" customHeight="1">
      <c r="A94" s="3">
        <v>9.1</v>
      </c>
      <c r="B94" s="3">
        <v>77.14</v>
      </c>
      <c r="C94" s="3">
        <v>1.53</v>
      </c>
      <c r="E94" s="3">
        <f t="shared" si="1"/>
        <v>82.81</v>
      </c>
      <c r="F94" s="3">
        <f t="shared" si="2"/>
        <v>701.974</v>
      </c>
      <c r="G94" s="3">
        <f t="shared" si="3"/>
        <v>81.57631815</v>
      </c>
      <c r="H94" s="3">
        <f t="shared" si="4"/>
        <v>3.887393737</v>
      </c>
      <c r="I94" s="3">
        <f t="shared" si="5"/>
        <v>32.95313768</v>
      </c>
      <c r="J94" s="3">
        <f t="shared" si="6"/>
        <v>35.37528301</v>
      </c>
      <c r="K94" s="3">
        <f t="shared" si="7"/>
        <v>299.8735529</v>
      </c>
      <c r="L94" s="3">
        <f t="shared" si="8"/>
        <v>0.427186125</v>
      </c>
      <c r="M94" s="3">
        <f t="shared" si="9"/>
        <v>8.407415421</v>
      </c>
      <c r="N94" s="3">
        <f t="shared" si="10"/>
        <v>-2.899554349</v>
      </c>
    </row>
    <row r="95" ht="14.25" customHeight="1">
      <c r="A95" s="3">
        <v>9.2</v>
      </c>
      <c r="B95" s="3">
        <v>83.3</v>
      </c>
      <c r="C95" s="3">
        <v>1.33</v>
      </c>
      <c r="E95" s="3">
        <f t="shared" si="1"/>
        <v>84.64</v>
      </c>
      <c r="F95" s="3">
        <f t="shared" si="2"/>
        <v>766.36</v>
      </c>
      <c r="G95" s="3">
        <f t="shared" si="3"/>
        <v>82.43737463</v>
      </c>
      <c r="H95" s="3">
        <f t="shared" si="4"/>
        <v>5.200972356</v>
      </c>
      <c r="I95" s="3">
        <f t="shared" si="5"/>
        <v>47.09141274</v>
      </c>
      <c r="J95" s="3">
        <f t="shared" si="6"/>
        <v>47.84894567</v>
      </c>
      <c r="K95" s="3">
        <f t="shared" si="7"/>
        <v>433.2409972</v>
      </c>
      <c r="L95" s="3">
        <f t="shared" si="8"/>
        <v>0.5653230821</v>
      </c>
      <c r="M95" s="3">
        <f t="shared" si="9"/>
        <v>0.4206696402</v>
      </c>
      <c r="N95" s="3">
        <f t="shared" si="10"/>
        <v>0.6485905027</v>
      </c>
    </row>
    <row r="96" ht="14.25" customHeight="1">
      <c r="A96" s="3">
        <v>9.3</v>
      </c>
      <c r="B96" s="3">
        <v>84.18</v>
      </c>
      <c r="C96" s="3">
        <v>1.19</v>
      </c>
      <c r="E96" s="3">
        <f t="shared" si="1"/>
        <v>86.49</v>
      </c>
      <c r="F96" s="3">
        <f t="shared" si="2"/>
        <v>782.874</v>
      </c>
      <c r="G96" s="3">
        <f t="shared" si="3"/>
        <v>83.29843111</v>
      </c>
      <c r="H96" s="3">
        <f t="shared" si="4"/>
        <v>6.567332815</v>
      </c>
      <c r="I96" s="3">
        <f t="shared" si="5"/>
        <v>59.44495445</v>
      </c>
      <c r="J96" s="3">
        <f t="shared" si="6"/>
        <v>61.07619518</v>
      </c>
      <c r="K96" s="3">
        <f t="shared" si="7"/>
        <v>552.8380764</v>
      </c>
      <c r="L96" s="3">
        <f t="shared" si="8"/>
        <v>0.7061648189</v>
      </c>
      <c r="M96" s="3">
        <f t="shared" si="9"/>
        <v>0.5488056698</v>
      </c>
      <c r="N96" s="3">
        <f t="shared" si="10"/>
        <v>0.7408141939</v>
      </c>
    </row>
    <row r="97" ht="14.25" customHeight="1">
      <c r="A97" s="3">
        <v>9.4</v>
      </c>
      <c r="B97" s="3">
        <v>81.5</v>
      </c>
      <c r="C97" s="3">
        <v>2.41</v>
      </c>
      <c r="E97" s="3">
        <f t="shared" si="1"/>
        <v>88.36</v>
      </c>
      <c r="F97" s="3">
        <f t="shared" si="2"/>
        <v>766.1</v>
      </c>
      <c r="G97" s="3">
        <f t="shared" si="3"/>
        <v>84.15948759</v>
      </c>
      <c r="H97" s="3">
        <f t="shared" si="4"/>
        <v>1.618429435</v>
      </c>
      <c r="I97" s="3">
        <f t="shared" si="5"/>
        <v>14.03212755</v>
      </c>
      <c r="J97" s="3">
        <f t="shared" si="6"/>
        <v>15.21323669</v>
      </c>
      <c r="K97" s="3">
        <f t="shared" si="7"/>
        <v>131.9019989</v>
      </c>
      <c r="L97" s="3">
        <f t="shared" si="8"/>
        <v>0.1721733441</v>
      </c>
      <c r="M97" s="3">
        <f t="shared" si="9"/>
        <v>1.217760408</v>
      </c>
      <c r="N97" s="3">
        <f t="shared" si="10"/>
        <v>-1.10352182</v>
      </c>
    </row>
    <row r="98" ht="14.25" customHeight="1">
      <c r="A98" s="3">
        <v>9.5</v>
      </c>
      <c r="B98" s="3">
        <v>89.35</v>
      </c>
      <c r="C98" s="3">
        <v>2.33</v>
      </c>
      <c r="E98" s="3">
        <f t="shared" si="1"/>
        <v>90.25</v>
      </c>
      <c r="F98" s="3">
        <f t="shared" si="2"/>
        <v>848.825</v>
      </c>
      <c r="G98" s="3">
        <f t="shared" si="3"/>
        <v>85.02054407</v>
      </c>
      <c r="H98" s="3">
        <f t="shared" si="4"/>
        <v>1.749894085</v>
      </c>
      <c r="I98" s="3">
        <f t="shared" si="5"/>
        <v>16.45821437</v>
      </c>
      <c r="J98" s="3">
        <f t="shared" si="6"/>
        <v>16.62399381</v>
      </c>
      <c r="K98" s="3">
        <f t="shared" si="7"/>
        <v>156.3530365</v>
      </c>
      <c r="L98" s="3">
        <f t="shared" si="8"/>
        <v>0.1841993774</v>
      </c>
      <c r="M98" s="3">
        <f t="shared" si="9"/>
        <v>3.452667887</v>
      </c>
      <c r="N98" s="3">
        <f t="shared" si="10"/>
        <v>1.858135594</v>
      </c>
    </row>
    <row r="99" ht="14.25" customHeight="1">
      <c r="A99" s="3">
        <v>9.6</v>
      </c>
      <c r="B99" s="3">
        <v>85.08</v>
      </c>
      <c r="C99" s="3">
        <v>0.87</v>
      </c>
      <c r="E99" s="3">
        <f t="shared" si="1"/>
        <v>92.16</v>
      </c>
      <c r="F99" s="3">
        <f t="shared" si="2"/>
        <v>816.768</v>
      </c>
      <c r="G99" s="3">
        <f t="shared" si="3"/>
        <v>85.88160054</v>
      </c>
      <c r="H99" s="3">
        <f t="shared" si="4"/>
        <v>12.68331352</v>
      </c>
      <c r="I99" s="3">
        <f t="shared" si="5"/>
        <v>112.405866</v>
      </c>
      <c r="J99" s="3">
        <f t="shared" si="6"/>
        <v>121.7598098</v>
      </c>
      <c r="K99" s="3">
        <f t="shared" si="7"/>
        <v>1079.096314</v>
      </c>
      <c r="L99" s="3">
        <f t="shared" si="8"/>
        <v>1.321178491</v>
      </c>
      <c r="M99" s="3">
        <f t="shared" si="9"/>
        <v>0.8489409834</v>
      </c>
      <c r="N99" s="3">
        <f t="shared" si="10"/>
        <v>-0.9213799344</v>
      </c>
    </row>
    <row r="100" ht="14.25" customHeight="1">
      <c r="A100" s="3">
        <v>9.7</v>
      </c>
      <c r="B100" s="3">
        <v>84.07</v>
      </c>
      <c r="C100" s="3">
        <v>1.06</v>
      </c>
      <c r="E100" s="3">
        <f t="shared" si="1"/>
        <v>94.09</v>
      </c>
      <c r="F100" s="3">
        <f t="shared" si="2"/>
        <v>815.479</v>
      </c>
      <c r="G100" s="3">
        <f t="shared" si="3"/>
        <v>86.74265702</v>
      </c>
      <c r="H100" s="3">
        <f t="shared" si="4"/>
        <v>8.632965468</v>
      </c>
      <c r="I100" s="3">
        <f t="shared" si="5"/>
        <v>74.82200071</v>
      </c>
      <c r="J100" s="3">
        <f t="shared" si="6"/>
        <v>83.73976504</v>
      </c>
      <c r="K100" s="3">
        <f t="shared" si="7"/>
        <v>725.7734069</v>
      </c>
      <c r="L100" s="3">
        <f t="shared" si="8"/>
        <v>0.88999644</v>
      </c>
      <c r="M100" s="3">
        <f t="shared" si="9"/>
        <v>6.357329611</v>
      </c>
      <c r="N100" s="3">
        <f t="shared" si="10"/>
        <v>-2.521374548</v>
      </c>
    </row>
    <row r="101" ht="14.25" customHeight="1">
      <c r="A101" s="3">
        <v>9.8</v>
      </c>
      <c r="B101" s="3">
        <v>87.25</v>
      </c>
      <c r="C101" s="3">
        <v>2.03</v>
      </c>
      <c r="E101" s="3">
        <f t="shared" si="1"/>
        <v>96.04</v>
      </c>
      <c r="F101" s="3">
        <f t="shared" si="2"/>
        <v>855.05</v>
      </c>
      <c r="G101" s="3">
        <f t="shared" si="3"/>
        <v>87.6037135</v>
      </c>
      <c r="H101" s="3">
        <f t="shared" si="4"/>
        <v>2.378121284</v>
      </c>
      <c r="I101" s="3">
        <f t="shared" si="5"/>
        <v>21.17255939</v>
      </c>
      <c r="J101" s="3">
        <f t="shared" si="6"/>
        <v>23.30558859</v>
      </c>
      <c r="K101" s="3">
        <f t="shared" si="7"/>
        <v>207.491082</v>
      </c>
      <c r="L101" s="3">
        <f t="shared" si="8"/>
        <v>0.2426654372</v>
      </c>
      <c r="M101" s="3">
        <f t="shared" si="9"/>
        <v>0.03036065886</v>
      </c>
      <c r="N101" s="3">
        <f t="shared" si="10"/>
        <v>-0.1742431028</v>
      </c>
    </row>
    <row r="102" ht="14.25" customHeight="1">
      <c r="A102" s="3">
        <v>9.9</v>
      </c>
      <c r="B102" s="3">
        <v>83.93</v>
      </c>
      <c r="C102" s="3">
        <v>1.68</v>
      </c>
      <c r="E102" s="3">
        <f t="shared" si="1"/>
        <v>98.01</v>
      </c>
      <c r="F102" s="3">
        <f t="shared" si="2"/>
        <v>830.907</v>
      </c>
      <c r="G102" s="3">
        <f t="shared" si="3"/>
        <v>88.46476998</v>
      </c>
      <c r="H102" s="3">
        <f t="shared" si="4"/>
        <v>3.507653061</v>
      </c>
      <c r="I102" s="3">
        <f t="shared" si="5"/>
        <v>29.73710317</v>
      </c>
      <c r="J102" s="3">
        <f t="shared" si="6"/>
        <v>34.72576531</v>
      </c>
      <c r="K102" s="3">
        <f t="shared" si="7"/>
        <v>294.3973214</v>
      </c>
      <c r="L102" s="3">
        <f t="shared" si="8"/>
        <v>0.35430839</v>
      </c>
      <c r="M102" s="3">
        <f t="shared" si="9"/>
        <v>7.286046889</v>
      </c>
      <c r="N102" s="3">
        <f t="shared" si="10"/>
        <v>-2.699267843</v>
      </c>
    </row>
    <row r="103" ht="14.25" customHeight="1">
      <c r="A103" s="3">
        <v>10.0</v>
      </c>
      <c r="B103" s="3">
        <v>88.61</v>
      </c>
      <c r="C103" s="3">
        <v>1.21</v>
      </c>
      <c r="E103" s="3">
        <f t="shared" si="1"/>
        <v>100</v>
      </c>
      <c r="F103" s="3">
        <f t="shared" si="2"/>
        <v>886.1</v>
      </c>
      <c r="G103" s="3">
        <f t="shared" si="3"/>
        <v>89.32582645</v>
      </c>
      <c r="H103" s="3">
        <f t="shared" si="4"/>
        <v>6.830134554</v>
      </c>
      <c r="I103" s="3">
        <f t="shared" si="5"/>
        <v>60.52182228</v>
      </c>
      <c r="J103" s="3">
        <f t="shared" si="6"/>
        <v>68.30134554</v>
      </c>
      <c r="K103" s="3">
        <f t="shared" si="7"/>
        <v>605.2182228</v>
      </c>
      <c r="L103" s="3">
        <f t="shared" si="8"/>
        <v>0.6830134554</v>
      </c>
      <c r="M103" s="3">
        <f t="shared" si="9"/>
        <v>0.3499812258</v>
      </c>
      <c r="N103" s="3">
        <f t="shared" si="10"/>
        <v>-0.591592111</v>
      </c>
    </row>
    <row r="104" ht="14.25" customHeight="1">
      <c r="A104" s="3">
        <v>10.1</v>
      </c>
      <c r="B104" s="3">
        <v>92.15</v>
      </c>
      <c r="C104" s="3">
        <v>1.65</v>
      </c>
      <c r="E104" s="3">
        <f t="shared" si="1"/>
        <v>102.01</v>
      </c>
      <c r="F104" s="3">
        <f t="shared" si="2"/>
        <v>930.715</v>
      </c>
      <c r="G104" s="3">
        <f t="shared" si="3"/>
        <v>90.18688293</v>
      </c>
      <c r="H104" s="3">
        <f t="shared" si="4"/>
        <v>3.709825528</v>
      </c>
      <c r="I104" s="3">
        <f t="shared" si="5"/>
        <v>33.84756657</v>
      </c>
      <c r="J104" s="3">
        <f t="shared" si="6"/>
        <v>37.46923783</v>
      </c>
      <c r="K104" s="3">
        <f t="shared" si="7"/>
        <v>341.8604224</v>
      </c>
      <c r="L104" s="3">
        <f t="shared" si="8"/>
        <v>0.3673094582</v>
      </c>
      <c r="M104" s="3">
        <f t="shared" si="9"/>
        <v>1.415547703</v>
      </c>
      <c r="N104" s="3">
        <f t="shared" si="10"/>
        <v>1.18976792</v>
      </c>
    </row>
    <row r="105" ht="14.25" customHeight="1">
      <c r="A105" s="3">
        <v>10.2</v>
      </c>
      <c r="B105" s="3">
        <v>86.09</v>
      </c>
      <c r="C105" s="3">
        <v>1.73</v>
      </c>
      <c r="E105" s="3">
        <f t="shared" si="1"/>
        <v>104.04</v>
      </c>
      <c r="F105" s="3">
        <f t="shared" si="2"/>
        <v>878.118</v>
      </c>
      <c r="G105" s="3">
        <f t="shared" si="3"/>
        <v>91.04793941</v>
      </c>
      <c r="H105" s="3">
        <f t="shared" si="4"/>
        <v>3.408065756</v>
      </c>
      <c r="I105" s="3">
        <f t="shared" si="5"/>
        <v>28.76474323</v>
      </c>
      <c r="J105" s="3">
        <f t="shared" si="6"/>
        <v>34.76227071</v>
      </c>
      <c r="K105" s="3">
        <f t="shared" si="7"/>
        <v>293.4003809</v>
      </c>
      <c r="L105" s="3">
        <f t="shared" si="8"/>
        <v>0.3341240937</v>
      </c>
      <c r="M105" s="3">
        <f t="shared" si="9"/>
        <v>8.213158874</v>
      </c>
      <c r="N105" s="3">
        <f t="shared" si="10"/>
        <v>-2.865860931</v>
      </c>
    </row>
    <row r="106" ht="14.25" customHeight="1">
      <c r="A106" s="3">
        <v>10.3</v>
      </c>
      <c r="B106" s="3">
        <v>94.05</v>
      </c>
      <c r="C106" s="3">
        <v>2.06</v>
      </c>
      <c r="E106" s="3">
        <f t="shared" si="1"/>
        <v>106.09</v>
      </c>
      <c r="F106" s="3">
        <f t="shared" si="2"/>
        <v>968.715</v>
      </c>
      <c r="G106" s="3">
        <f t="shared" si="3"/>
        <v>91.90899589</v>
      </c>
      <c r="H106" s="3">
        <f t="shared" si="4"/>
        <v>2.427184466</v>
      </c>
      <c r="I106" s="3">
        <f t="shared" si="5"/>
        <v>22.16278631</v>
      </c>
      <c r="J106" s="3">
        <f t="shared" si="6"/>
        <v>25</v>
      </c>
      <c r="K106" s="3">
        <f t="shared" si="7"/>
        <v>228.276699</v>
      </c>
      <c r="L106" s="3">
        <f t="shared" si="8"/>
        <v>0.2356489773</v>
      </c>
      <c r="M106" s="3">
        <f t="shared" si="9"/>
        <v>1.080191019</v>
      </c>
      <c r="N106" s="3">
        <f t="shared" si="10"/>
        <v>1.039322385</v>
      </c>
    </row>
    <row r="107" ht="14.25" customHeight="1">
      <c r="A107" s="3">
        <v>10.4</v>
      </c>
      <c r="B107" s="3">
        <v>91.75</v>
      </c>
      <c r="C107" s="3">
        <v>1.82</v>
      </c>
      <c r="E107" s="3">
        <f t="shared" si="1"/>
        <v>108.16</v>
      </c>
      <c r="F107" s="3">
        <f t="shared" si="2"/>
        <v>954.2</v>
      </c>
      <c r="G107" s="3">
        <f t="shared" si="3"/>
        <v>92.77005237</v>
      </c>
      <c r="H107" s="3">
        <f t="shared" si="4"/>
        <v>3.139717425</v>
      </c>
      <c r="I107" s="3">
        <f t="shared" si="5"/>
        <v>27.6989494</v>
      </c>
      <c r="J107" s="3">
        <f t="shared" si="6"/>
        <v>32.65306122</v>
      </c>
      <c r="K107" s="3">
        <f t="shared" si="7"/>
        <v>288.0690738</v>
      </c>
      <c r="L107" s="3">
        <f t="shared" si="8"/>
        <v>0.3018959063</v>
      </c>
      <c r="M107" s="3">
        <f t="shared" si="9"/>
        <v>0.3141247521</v>
      </c>
      <c r="N107" s="3">
        <f t="shared" si="10"/>
        <v>-0.5604683329</v>
      </c>
    </row>
    <row r="108" ht="14.25" customHeight="1">
      <c r="A108" s="3">
        <v>10.5</v>
      </c>
      <c r="B108" s="3">
        <v>93.66</v>
      </c>
      <c r="C108" s="3">
        <v>2.13</v>
      </c>
      <c r="E108" s="3">
        <f t="shared" si="1"/>
        <v>110.25</v>
      </c>
      <c r="F108" s="3">
        <f t="shared" si="2"/>
        <v>983.43</v>
      </c>
      <c r="G108" s="3">
        <f t="shared" si="3"/>
        <v>93.63110884</v>
      </c>
      <c r="H108" s="3">
        <f t="shared" si="4"/>
        <v>2.314355617</v>
      </c>
      <c r="I108" s="3">
        <f t="shared" si="5"/>
        <v>20.64405211</v>
      </c>
      <c r="J108" s="3">
        <f t="shared" si="6"/>
        <v>24.30073398</v>
      </c>
      <c r="K108" s="3">
        <f t="shared" si="7"/>
        <v>216.7625471</v>
      </c>
      <c r="L108" s="3">
        <f t="shared" si="8"/>
        <v>0.2204148207</v>
      </c>
      <c r="M108" s="3">
        <f t="shared" si="9"/>
        <v>0.0001839800117</v>
      </c>
      <c r="N108" s="3">
        <f t="shared" si="10"/>
        <v>0.01356392317</v>
      </c>
    </row>
    <row r="109" ht="14.25" customHeight="1">
      <c r="A109" s="3">
        <v>10.6</v>
      </c>
      <c r="B109" s="3">
        <v>92.71</v>
      </c>
      <c r="C109" s="3">
        <v>2.68</v>
      </c>
      <c r="E109" s="3">
        <f t="shared" si="1"/>
        <v>112.36</v>
      </c>
      <c r="F109" s="3">
        <f t="shared" si="2"/>
        <v>982.726</v>
      </c>
      <c r="G109" s="3">
        <f t="shared" si="3"/>
        <v>94.49216532</v>
      </c>
      <c r="H109" s="3">
        <f t="shared" si="4"/>
        <v>1.475829806</v>
      </c>
      <c r="I109" s="3">
        <f t="shared" si="5"/>
        <v>12.90794164</v>
      </c>
      <c r="J109" s="3">
        <f t="shared" si="6"/>
        <v>15.64379595</v>
      </c>
      <c r="K109" s="3">
        <f t="shared" si="7"/>
        <v>136.8241813</v>
      </c>
      <c r="L109" s="3">
        <f t="shared" si="8"/>
        <v>0.139229227</v>
      </c>
      <c r="M109" s="3">
        <f t="shared" si="9"/>
        <v>0.4422077903</v>
      </c>
      <c r="N109" s="3">
        <f t="shared" si="10"/>
        <v>-0.6649870603</v>
      </c>
    </row>
    <row r="110" ht="14.25" customHeight="1">
      <c r="A110" s="3">
        <v>10.7</v>
      </c>
      <c r="B110" s="3">
        <v>99.16</v>
      </c>
      <c r="C110" s="3">
        <v>2.42</v>
      </c>
      <c r="E110" s="3">
        <f t="shared" si="1"/>
        <v>114.49</v>
      </c>
      <c r="F110" s="3">
        <f t="shared" si="2"/>
        <v>1061.012</v>
      </c>
      <c r="G110" s="3">
        <f t="shared" si="3"/>
        <v>95.3532218</v>
      </c>
      <c r="H110" s="3">
        <f t="shared" si="4"/>
        <v>1.827060993</v>
      </c>
      <c r="I110" s="3">
        <f t="shared" si="5"/>
        <v>16.93190356</v>
      </c>
      <c r="J110" s="3">
        <f t="shared" si="6"/>
        <v>19.54955263</v>
      </c>
      <c r="K110" s="3">
        <f t="shared" si="7"/>
        <v>181.1713681</v>
      </c>
      <c r="L110" s="3">
        <f t="shared" si="8"/>
        <v>0.1707533638</v>
      </c>
      <c r="M110" s="3">
        <f t="shared" si="9"/>
        <v>2.474482663</v>
      </c>
      <c r="N110" s="3">
        <f t="shared" si="10"/>
        <v>1.573048843</v>
      </c>
    </row>
    <row r="111" ht="14.25" customHeight="1">
      <c r="A111" s="3">
        <v>10.8</v>
      </c>
      <c r="B111" s="3">
        <v>97.63</v>
      </c>
      <c r="C111" s="3">
        <v>1.67</v>
      </c>
      <c r="E111" s="3">
        <f t="shared" si="1"/>
        <v>116.64</v>
      </c>
      <c r="F111" s="3">
        <f t="shared" si="2"/>
        <v>1054.404</v>
      </c>
      <c r="G111" s="3">
        <f t="shared" si="3"/>
        <v>96.21427828</v>
      </c>
      <c r="H111" s="3">
        <f t="shared" si="4"/>
        <v>3.872494532</v>
      </c>
      <c r="I111" s="3">
        <f t="shared" si="5"/>
        <v>35.00663344</v>
      </c>
      <c r="J111" s="3">
        <f t="shared" si="6"/>
        <v>41.82294094</v>
      </c>
      <c r="K111" s="3">
        <f t="shared" si="7"/>
        <v>378.0716411</v>
      </c>
      <c r="L111" s="3">
        <f t="shared" si="8"/>
        <v>0.3585643085</v>
      </c>
      <c r="M111" s="3">
        <f t="shared" si="9"/>
        <v>0.7186589682</v>
      </c>
      <c r="N111" s="3">
        <f t="shared" si="10"/>
        <v>0.8477375585</v>
      </c>
    </row>
    <row r="112" ht="14.25" customHeight="1">
      <c r="A112" s="3">
        <v>10.9</v>
      </c>
      <c r="B112" s="3">
        <v>95.82</v>
      </c>
      <c r="C112" s="3">
        <v>1.33</v>
      </c>
      <c r="E112" s="3">
        <f t="shared" si="1"/>
        <v>118.81</v>
      </c>
      <c r="F112" s="3">
        <f t="shared" si="2"/>
        <v>1044.438</v>
      </c>
      <c r="G112" s="3">
        <f t="shared" si="3"/>
        <v>97.07533476</v>
      </c>
      <c r="H112" s="3">
        <f t="shared" si="4"/>
        <v>6.162021595</v>
      </c>
      <c r="I112" s="3">
        <f t="shared" si="5"/>
        <v>54.16925773</v>
      </c>
      <c r="J112" s="3">
        <f t="shared" si="6"/>
        <v>67.16603539</v>
      </c>
      <c r="K112" s="3">
        <f t="shared" si="7"/>
        <v>590.4449093</v>
      </c>
      <c r="L112" s="3">
        <f t="shared" si="8"/>
        <v>0.5653230821</v>
      </c>
      <c r="M112" s="3">
        <f t="shared" si="9"/>
        <v>0.8908730552</v>
      </c>
      <c r="N112" s="3">
        <f t="shared" si="10"/>
        <v>-0.9438607181</v>
      </c>
    </row>
    <row r="113" ht="14.25" customHeight="1">
      <c r="A113" s="3">
        <v>11.0</v>
      </c>
      <c r="B113" s="3">
        <v>93.13</v>
      </c>
      <c r="C113" s="3">
        <v>2.9</v>
      </c>
      <c r="E113" s="3">
        <f t="shared" si="1"/>
        <v>121</v>
      </c>
      <c r="F113" s="3">
        <f t="shared" si="2"/>
        <v>1024.43</v>
      </c>
      <c r="G113" s="3">
        <f t="shared" si="3"/>
        <v>97.93639123</v>
      </c>
      <c r="H113" s="3">
        <f t="shared" si="4"/>
        <v>1.307966706</v>
      </c>
      <c r="I113" s="3">
        <f t="shared" si="5"/>
        <v>11.07372176</v>
      </c>
      <c r="J113" s="3">
        <f t="shared" si="6"/>
        <v>14.38763377</v>
      </c>
      <c r="K113" s="3">
        <f t="shared" si="7"/>
        <v>121.8109394</v>
      </c>
      <c r="L113" s="3">
        <f t="shared" si="8"/>
        <v>0.1189060642</v>
      </c>
      <c r="M113" s="3">
        <f t="shared" si="9"/>
        <v>2.746896157</v>
      </c>
      <c r="N113" s="3">
        <f t="shared" si="10"/>
        <v>-1.657376287</v>
      </c>
    </row>
    <row r="114" ht="14.25" customHeight="1">
      <c r="A114" s="3">
        <v>11.1</v>
      </c>
      <c r="B114" s="3">
        <v>98.19</v>
      </c>
      <c r="C114" s="3">
        <v>2.24</v>
      </c>
      <c r="E114" s="3">
        <f t="shared" si="1"/>
        <v>123.21</v>
      </c>
      <c r="F114" s="3">
        <f t="shared" si="2"/>
        <v>1089.909</v>
      </c>
      <c r="G114" s="3">
        <f t="shared" si="3"/>
        <v>98.79744771</v>
      </c>
      <c r="H114" s="3">
        <f t="shared" si="4"/>
        <v>2.21221301</v>
      </c>
      <c r="I114" s="3">
        <f t="shared" si="5"/>
        <v>19.56911671</v>
      </c>
      <c r="J114" s="3">
        <f t="shared" si="6"/>
        <v>24.55556441</v>
      </c>
      <c r="K114" s="3">
        <f t="shared" si="7"/>
        <v>217.2171955</v>
      </c>
      <c r="L114" s="3">
        <f t="shared" si="8"/>
        <v>0.1992984694</v>
      </c>
      <c r="M114" s="3">
        <f t="shared" si="9"/>
        <v>0.07353968459</v>
      </c>
      <c r="N114" s="3">
        <f t="shared" si="10"/>
        <v>-0.2711820138</v>
      </c>
    </row>
    <row r="115" ht="14.25" customHeight="1">
      <c r="A115" s="3">
        <v>11.2</v>
      </c>
      <c r="B115" s="3">
        <v>102.14</v>
      </c>
      <c r="C115" s="3">
        <v>2.25</v>
      </c>
      <c r="E115" s="3">
        <f t="shared" si="1"/>
        <v>125.44</v>
      </c>
      <c r="F115" s="3">
        <f t="shared" si="2"/>
        <v>1143.968</v>
      </c>
      <c r="G115" s="3">
        <f t="shared" si="3"/>
        <v>99.65850419</v>
      </c>
      <c r="H115" s="3">
        <f t="shared" si="4"/>
        <v>2.212345679</v>
      </c>
      <c r="I115" s="3">
        <f t="shared" si="5"/>
        <v>20.17580247</v>
      </c>
      <c r="J115" s="3">
        <f t="shared" si="6"/>
        <v>24.7782716</v>
      </c>
      <c r="K115" s="3">
        <f t="shared" si="7"/>
        <v>225.9689877</v>
      </c>
      <c r="L115" s="3">
        <f t="shared" si="8"/>
        <v>0.1975308642</v>
      </c>
      <c r="M115" s="3">
        <f t="shared" si="9"/>
        <v>1.216359795</v>
      </c>
      <c r="N115" s="3">
        <f t="shared" si="10"/>
        <v>1.102887027</v>
      </c>
    </row>
    <row r="116" ht="14.25" customHeight="1">
      <c r="A116" s="3">
        <v>11.3</v>
      </c>
      <c r="B116" s="3">
        <v>97.49</v>
      </c>
      <c r="C116" s="3">
        <v>1.4</v>
      </c>
      <c r="E116" s="3">
        <f t="shared" si="1"/>
        <v>127.69</v>
      </c>
      <c r="F116" s="3">
        <f t="shared" si="2"/>
        <v>1101.637</v>
      </c>
      <c r="G116" s="3">
        <f t="shared" si="3"/>
        <v>100.5195607</v>
      </c>
      <c r="H116" s="3">
        <f t="shared" si="4"/>
        <v>5.765306122</v>
      </c>
      <c r="I116" s="3">
        <f t="shared" si="5"/>
        <v>49.73979592</v>
      </c>
      <c r="J116" s="3">
        <f t="shared" si="6"/>
        <v>65.14795918</v>
      </c>
      <c r="K116" s="3">
        <f t="shared" si="7"/>
        <v>562.0596939</v>
      </c>
      <c r="L116" s="3">
        <f t="shared" si="8"/>
        <v>0.5102040816</v>
      </c>
      <c r="M116" s="3">
        <f t="shared" si="9"/>
        <v>4.682774404</v>
      </c>
      <c r="N116" s="3">
        <f t="shared" si="10"/>
        <v>-2.163971905</v>
      </c>
    </row>
    <row r="117" ht="14.25" customHeight="1">
      <c r="A117" s="3">
        <v>11.4</v>
      </c>
      <c r="B117" s="3">
        <v>102.95</v>
      </c>
      <c r="C117" s="3">
        <v>1.31</v>
      </c>
      <c r="E117" s="3">
        <f t="shared" si="1"/>
        <v>129.96</v>
      </c>
      <c r="F117" s="3">
        <f t="shared" si="2"/>
        <v>1173.63</v>
      </c>
      <c r="G117" s="3">
        <f t="shared" si="3"/>
        <v>101.3806171</v>
      </c>
      <c r="H117" s="3">
        <f t="shared" si="4"/>
        <v>6.642969524</v>
      </c>
      <c r="I117" s="3">
        <f t="shared" si="5"/>
        <v>59.99067653</v>
      </c>
      <c r="J117" s="3">
        <f t="shared" si="6"/>
        <v>75.72985257</v>
      </c>
      <c r="K117" s="3">
        <f t="shared" si="7"/>
        <v>683.8937125</v>
      </c>
      <c r="L117" s="3">
        <f t="shared" si="8"/>
        <v>0.5827166249</v>
      </c>
      <c r="M117" s="3">
        <f t="shared" si="9"/>
        <v>1.435209223</v>
      </c>
      <c r="N117" s="3">
        <f t="shared" si="10"/>
        <v>1.19800218</v>
      </c>
    </row>
    <row r="118" ht="14.25" customHeight="1">
      <c r="A118" s="3">
        <v>11.5</v>
      </c>
      <c r="B118" s="3">
        <v>103.0</v>
      </c>
      <c r="C118" s="3">
        <v>2.42</v>
      </c>
      <c r="E118" s="3">
        <f t="shared" si="1"/>
        <v>132.25</v>
      </c>
      <c r="F118" s="3">
        <f t="shared" si="2"/>
        <v>1184.5</v>
      </c>
      <c r="G118" s="3">
        <f t="shared" si="3"/>
        <v>102.2416736</v>
      </c>
      <c r="H118" s="3">
        <f t="shared" si="4"/>
        <v>1.963663684</v>
      </c>
      <c r="I118" s="3">
        <f t="shared" si="5"/>
        <v>17.58759648</v>
      </c>
      <c r="J118" s="3">
        <f t="shared" si="6"/>
        <v>22.58213237</v>
      </c>
      <c r="K118" s="3">
        <f t="shared" si="7"/>
        <v>202.2573595</v>
      </c>
      <c r="L118" s="3">
        <f t="shared" si="8"/>
        <v>0.1707533638</v>
      </c>
      <c r="M118" s="3">
        <f t="shared" si="9"/>
        <v>0.09819324075</v>
      </c>
      <c r="N118" s="3">
        <f t="shared" si="10"/>
        <v>0.3133580073</v>
      </c>
    </row>
    <row r="119" ht="14.25" customHeight="1">
      <c r="A119" s="3">
        <v>11.6</v>
      </c>
      <c r="B119" s="3">
        <v>100.8</v>
      </c>
      <c r="C119" s="3">
        <v>2.22</v>
      </c>
      <c r="E119" s="3">
        <f t="shared" si="1"/>
        <v>134.56</v>
      </c>
      <c r="F119" s="3">
        <f t="shared" si="2"/>
        <v>1169.28</v>
      </c>
      <c r="G119" s="3">
        <f t="shared" si="3"/>
        <v>103.1027301</v>
      </c>
      <c r="H119" s="3">
        <f t="shared" si="4"/>
        <v>2.353705056</v>
      </c>
      <c r="I119" s="3">
        <f t="shared" si="5"/>
        <v>20.45288532</v>
      </c>
      <c r="J119" s="3">
        <f t="shared" si="6"/>
        <v>27.30297865</v>
      </c>
      <c r="K119" s="3">
        <f t="shared" si="7"/>
        <v>237.2534697</v>
      </c>
      <c r="L119" s="3">
        <f t="shared" si="8"/>
        <v>0.2029056083</v>
      </c>
      <c r="M119" s="3">
        <f t="shared" si="9"/>
        <v>1.075920362</v>
      </c>
      <c r="N119" s="3">
        <f t="shared" si="10"/>
        <v>-1.037265811</v>
      </c>
    </row>
    <row r="120" ht="14.25" customHeight="1">
      <c r="A120" s="3">
        <v>11.7</v>
      </c>
      <c r="B120" s="3">
        <v>102.96</v>
      </c>
      <c r="C120" s="3">
        <v>2.96</v>
      </c>
      <c r="E120" s="3">
        <f t="shared" si="1"/>
        <v>136.89</v>
      </c>
      <c r="F120" s="3">
        <f t="shared" si="2"/>
        <v>1204.632</v>
      </c>
      <c r="G120" s="3">
        <f t="shared" si="3"/>
        <v>103.9637866</v>
      </c>
      <c r="H120" s="3">
        <f t="shared" si="4"/>
        <v>1.335372535</v>
      </c>
      <c r="I120" s="3">
        <f t="shared" si="5"/>
        <v>11.75127831</v>
      </c>
      <c r="J120" s="3">
        <f t="shared" si="6"/>
        <v>15.62385866</v>
      </c>
      <c r="K120" s="3">
        <f t="shared" si="7"/>
        <v>137.4899562</v>
      </c>
      <c r="L120" s="3">
        <f t="shared" si="8"/>
        <v>0.1141344047</v>
      </c>
      <c r="M120" s="3">
        <f t="shared" si="9"/>
        <v>0.1150003988</v>
      </c>
      <c r="N120" s="3">
        <f t="shared" si="10"/>
        <v>-0.3391170872</v>
      </c>
    </row>
    <row r="121" ht="14.25" customHeight="1">
      <c r="A121" s="3">
        <v>11.8</v>
      </c>
      <c r="B121" s="3">
        <v>104.03</v>
      </c>
      <c r="C121" s="3">
        <v>1.1</v>
      </c>
      <c r="E121" s="3">
        <f t="shared" si="1"/>
        <v>139.24</v>
      </c>
      <c r="F121" s="3">
        <f t="shared" si="2"/>
        <v>1227.554</v>
      </c>
      <c r="G121" s="3">
        <f t="shared" si="3"/>
        <v>104.8248431</v>
      </c>
      <c r="H121" s="3">
        <f t="shared" si="4"/>
        <v>9.752066116</v>
      </c>
      <c r="I121" s="3">
        <f t="shared" si="5"/>
        <v>85.97520661</v>
      </c>
      <c r="J121" s="3">
        <f t="shared" si="6"/>
        <v>115.0743802</v>
      </c>
      <c r="K121" s="3">
        <f t="shared" si="7"/>
        <v>1014.507438</v>
      </c>
      <c r="L121" s="3">
        <f t="shared" si="8"/>
        <v>0.826446281</v>
      </c>
      <c r="M121" s="3">
        <f t="shared" si="9"/>
        <v>0.5221284987</v>
      </c>
      <c r="N121" s="3">
        <f t="shared" si="10"/>
        <v>-0.7225845962</v>
      </c>
    </row>
    <row r="122" ht="14.25" customHeight="1">
      <c r="A122" s="3">
        <v>11.9</v>
      </c>
      <c r="B122" s="3">
        <v>107.38</v>
      </c>
      <c r="C122" s="3">
        <v>1.83</v>
      </c>
      <c r="E122" s="3">
        <f t="shared" si="1"/>
        <v>141.61</v>
      </c>
      <c r="F122" s="3">
        <f t="shared" si="2"/>
        <v>1277.822</v>
      </c>
      <c r="G122" s="3">
        <f t="shared" si="3"/>
        <v>105.6858995</v>
      </c>
      <c r="H122" s="3">
        <f t="shared" si="4"/>
        <v>3.553405596</v>
      </c>
      <c r="I122" s="3">
        <f t="shared" si="5"/>
        <v>32.06425991</v>
      </c>
      <c r="J122" s="3">
        <f t="shared" si="6"/>
        <v>42.28552659</v>
      </c>
      <c r="K122" s="3">
        <f t="shared" si="7"/>
        <v>381.5646929</v>
      </c>
      <c r="L122" s="3">
        <f t="shared" si="8"/>
        <v>0.2986055123</v>
      </c>
      <c r="M122" s="3">
        <f t="shared" si="9"/>
        <v>0.85699077</v>
      </c>
      <c r="N122" s="3">
        <f t="shared" si="10"/>
        <v>0.9257379597</v>
      </c>
    </row>
    <row r="123" ht="14.25" customHeight="1">
      <c r="A123" s="3">
        <v>12.0</v>
      </c>
      <c r="B123" s="3">
        <v>106.96</v>
      </c>
      <c r="C123" s="3">
        <v>1.27</v>
      </c>
      <c r="E123" s="3">
        <f t="shared" si="1"/>
        <v>144</v>
      </c>
      <c r="F123" s="3">
        <f t="shared" si="2"/>
        <v>1283.52</v>
      </c>
      <c r="G123" s="3">
        <f t="shared" si="3"/>
        <v>106.546956</v>
      </c>
      <c r="H123" s="3">
        <f t="shared" si="4"/>
        <v>7.44001488</v>
      </c>
      <c r="I123" s="3">
        <f t="shared" si="5"/>
        <v>66.31533263</v>
      </c>
      <c r="J123" s="3">
        <f t="shared" si="6"/>
        <v>89.28017856</v>
      </c>
      <c r="K123" s="3">
        <f t="shared" si="7"/>
        <v>795.7839916</v>
      </c>
      <c r="L123" s="3">
        <f t="shared" si="8"/>
        <v>0.62000124</v>
      </c>
      <c r="M123" s="3">
        <f t="shared" si="9"/>
        <v>0.1057755201</v>
      </c>
      <c r="N123" s="3">
        <f t="shared" si="10"/>
        <v>0.3252314869</v>
      </c>
    </row>
    <row r="124" ht="14.25" customHeight="1">
      <c r="A124" s="3">
        <v>12.1</v>
      </c>
      <c r="B124" s="3">
        <v>108.24</v>
      </c>
      <c r="C124" s="3">
        <v>1.09</v>
      </c>
      <c r="E124" s="3">
        <f t="shared" si="1"/>
        <v>146.41</v>
      </c>
      <c r="F124" s="3">
        <f t="shared" si="2"/>
        <v>1309.704</v>
      </c>
      <c r="G124" s="3">
        <f t="shared" si="3"/>
        <v>107.4080125</v>
      </c>
      <c r="H124" s="3">
        <f t="shared" si="4"/>
        <v>10.18432792</v>
      </c>
      <c r="I124" s="3">
        <f t="shared" si="5"/>
        <v>91.10344247</v>
      </c>
      <c r="J124" s="3">
        <f t="shared" si="6"/>
        <v>123.2303678</v>
      </c>
      <c r="K124" s="3">
        <f t="shared" si="7"/>
        <v>1102.351654</v>
      </c>
      <c r="L124" s="3">
        <f t="shared" si="8"/>
        <v>0.8416799933</v>
      </c>
      <c r="M124" s="3">
        <f t="shared" si="9"/>
        <v>0.5826135996</v>
      </c>
      <c r="N124" s="3">
        <f t="shared" si="10"/>
        <v>0.7632912941</v>
      </c>
    </row>
    <row r="125" ht="14.25" customHeight="1">
      <c r="A125" s="3">
        <v>12.2</v>
      </c>
      <c r="B125" s="3">
        <v>102.55</v>
      </c>
      <c r="C125" s="3">
        <v>3.07</v>
      </c>
      <c r="E125" s="3">
        <f t="shared" si="1"/>
        <v>148.84</v>
      </c>
      <c r="F125" s="3">
        <f t="shared" si="2"/>
        <v>1251.11</v>
      </c>
      <c r="G125" s="3">
        <f t="shared" si="3"/>
        <v>108.269069</v>
      </c>
      <c r="H125" s="3">
        <f t="shared" si="4"/>
        <v>1.294443442</v>
      </c>
      <c r="I125" s="3">
        <f t="shared" si="5"/>
        <v>10.88075205</v>
      </c>
      <c r="J125" s="3">
        <f t="shared" si="6"/>
        <v>15.79221</v>
      </c>
      <c r="K125" s="3">
        <f t="shared" si="7"/>
        <v>132.745175</v>
      </c>
      <c r="L125" s="3">
        <f t="shared" si="8"/>
        <v>0.1061019215</v>
      </c>
      <c r="M125" s="3">
        <f t="shared" si="9"/>
        <v>3.470355108</v>
      </c>
      <c r="N125" s="3">
        <f t="shared" si="10"/>
        <v>-1.862888914</v>
      </c>
    </row>
    <row r="126" ht="14.25" customHeight="1">
      <c r="A126" s="3">
        <v>12.3</v>
      </c>
      <c r="B126" s="3">
        <v>107.31</v>
      </c>
      <c r="C126" s="3">
        <v>1.42</v>
      </c>
      <c r="E126" s="3">
        <f t="shared" si="1"/>
        <v>151.29</v>
      </c>
      <c r="F126" s="3">
        <f t="shared" si="2"/>
        <v>1319.913</v>
      </c>
      <c r="G126" s="3">
        <f t="shared" si="3"/>
        <v>109.1301254</v>
      </c>
      <c r="H126" s="3">
        <f t="shared" si="4"/>
        <v>6.099980163</v>
      </c>
      <c r="I126" s="3">
        <f t="shared" si="5"/>
        <v>53.21860742</v>
      </c>
      <c r="J126" s="3">
        <f t="shared" si="6"/>
        <v>75.029756</v>
      </c>
      <c r="K126" s="3">
        <f t="shared" si="7"/>
        <v>654.5888713</v>
      </c>
      <c r="L126" s="3">
        <f t="shared" si="8"/>
        <v>0.4959333466</v>
      </c>
      <c r="M126" s="3">
        <f t="shared" si="9"/>
        <v>1.642956078</v>
      </c>
      <c r="N126" s="3">
        <f t="shared" si="10"/>
        <v>-1.281778483</v>
      </c>
    </row>
    <row r="127" ht="14.25" customHeight="1">
      <c r="A127" s="3">
        <v>12.4</v>
      </c>
      <c r="B127" s="3">
        <v>111.16</v>
      </c>
      <c r="C127" s="3">
        <v>2.67</v>
      </c>
      <c r="E127" s="3">
        <f t="shared" si="1"/>
        <v>153.76</v>
      </c>
      <c r="F127" s="3">
        <f t="shared" si="2"/>
        <v>1378.384</v>
      </c>
      <c r="G127" s="3">
        <f t="shared" si="3"/>
        <v>109.9911819</v>
      </c>
      <c r="H127" s="3">
        <f t="shared" si="4"/>
        <v>1.739398785</v>
      </c>
      <c r="I127" s="3">
        <f t="shared" si="5"/>
        <v>15.59286846</v>
      </c>
      <c r="J127" s="3">
        <f t="shared" si="6"/>
        <v>21.56854494</v>
      </c>
      <c r="K127" s="3">
        <f t="shared" si="7"/>
        <v>193.351569</v>
      </c>
      <c r="L127" s="3">
        <f t="shared" si="8"/>
        <v>0.1402740956</v>
      </c>
      <c r="M127" s="3">
        <f t="shared" si="9"/>
        <v>0.1916334493</v>
      </c>
      <c r="N127" s="3">
        <f t="shared" si="10"/>
        <v>0.4377595794</v>
      </c>
    </row>
    <row r="128" ht="14.25" customHeight="1">
      <c r="A128" s="3">
        <v>12.5</v>
      </c>
      <c r="B128" s="3">
        <v>111.09</v>
      </c>
      <c r="C128" s="3">
        <v>1.49</v>
      </c>
      <c r="E128" s="3">
        <f t="shared" si="1"/>
        <v>156.25</v>
      </c>
      <c r="F128" s="3">
        <f t="shared" si="2"/>
        <v>1388.625</v>
      </c>
      <c r="G128" s="3">
        <f t="shared" si="3"/>
        <v>110.8522384</v>
      </c>
      <c r="H128" s="3">
        <f t="shared" si="4"/>
        <v>5.63037701</v>
      </c>
      <c r="I128" s="3">
        <f t="shared" si="5"/>
        <v>50.03828656</v>
      </c>
      <c r="J128" s="3">
        <f t="shared" si="6"/>
        <v>70.37971263</v>
      </c>
      <c r="K128" s="3">
        <f t="shared" si="7"/>
        <v>625.478582</v>
      </c>
      <c r="L128" s="3">
        <f t="shared" si="8"/>
        <v>0.4504301608</v>
      </c>
      <c r="M128" s="3">
        <f t="shared" si="9"/>
        <v>0.02546307734</v>
      </c>
      <c r="N128" s="3">
        <f t="shared" si="10"/>
        <v>0.159571543</v>
      </c>
    </row>
    <row r="129" ht="14.25" customHeight="1">
      <c r="A129" s="3">
        <v>12.6</v>
      </c>
      <c r="B129" s="3">
        <v>111.05</v>
      </c>
      <c r="C129" s="3">
        <v>1.74</v>
      </c>
      <c r="E129" s="3">
        <f t="shared" si="1"/>
        <v>158.76</v>
      </c>
      <c r="F129" s="3">
        <f t="shared" si="2"/>
        <v>1399.23</v>
      </c>
      <c r="G129" s="3">
        <f t="shared" si="3"/>
        <v>111.7132949</v>
      </c>
      <c r="H129" s="3">
        <f t="shared" si="4"/>
        <v>4.161712247</v>
      </c>
      <c r="I129" s="3">
        <f t="shared" si="5"/>
        <v>36.67921786</v>
      </c>
      <c r="J129" s="3">
        <f t="shared" si="6"/>
        <v>52.43757432</v>
      </c>
      <c r="K129" s="3">
        <f t="shared" si="7"/>
        <v>462.1581451</v>
      </c>
      <c r="L129" s="3">
        <f t="shared" si="8"/>
        <v>0.3302946228</v>
      </c>
      <c r="M129" s="3">
        <f t="shared" si="9"/>
        <v>0.145316454</v>
      </c>
      <c r="N129" s="3">
        <f t="shared" si="10"/>
        <v>-0.3812039533</v>
      </c>
    </row>
    <row r="130" ht="14.25" customHeight="1">
      <c r="A130" s="3">
        <v>12.7</v>
      </c>
      <c r="B130" s="3">
        <v>113.28</v>
      </c>
      <c r="C130" s="3">
        <v>1.75</v>
      </c>
      <c r="E130" s="3">
        <f t="shared" si="1"/>
        <v>161.29</v>
      </c>
      <c r="F130" s="3">
        <f t="shared" si="2"/>
        <v>1438.656</v>
      </c>
      <c r="G130" s="3">
        <f t="shared" si="3"/>
        <v>112.5743514</v>
      </c>
      <c r="H130" s="3">
        <f t="shared" si="4"/>
        <v>4.146938776</v>
      </c>
      <c r="I130" s="3">
        <f t="shared" si="5"/>
        <v>36.98938776</v>
      </c>
      <c r="J130" s="3">
        <f t="shared" si="6"/>
        <v>52.66612245</v>
      </c>
      <c r="K130" s="3">
        <f t="shared" si="7"/>
        <v>469.7652245</v>
      </c>
      <c r="L130" s="3">
        <f t="shared" si="8"/>
        <v>0.3265306122</v>
      </c>
      <c r="M130" s="3">
        <f t="shared" si="9"/>
        <v>0.1625926556</v>
      </c>
      <c r="N130" s="3">
        <f t="shared" si="10"/>
        <v>0.4032277962</v>
      </c>
    </row>
    <row r="131" ht="14.25" customHeight="1">
      <c r="A131" s="3">
        <v>12.8</v>
      </c>
      <c r="B131" s="3">
        <v>112.0</v>
      </c>
      <c r="C131" s="3">
        <v>2.87</v>
      </c>
      <c r="E131" s="3">
        <f t="shared" si="1"/>
        <v>163.84</v>
      </c>
      <c r="F131" s="3">
        <f t="shared" si="2"/>
        <v>1433.6</v>
      </c>
      <c r="G131" s="3">
        <f t="shared" si="3"/>
        <v>113.4354078</v>
      </c>
      <c r="H131" s="3">
        <f t="shared" si="4"/>
        <v>1.553982688</v>
      </c>
      <c r="I131" s="3">
        <f t="shared" si="5"/>
        <v>13.59734852</v>
      </c>
      <c r="J131" s="3">
        <f t="shared" si="6"/>
        <v>19.8909784</v>
      </c>
      <c r="K131" s="3">
        <f t="shared" si="7"/>
        <v>174.046061</v>
      </c>
      <c r="L131" s="3">
        <f t="shared" si="8"/>
        <v>0.1214048975</v>
      </c>
      <c r="M131" s="3">
        <f t="shared" si="9"/>
        <v>0.2501421228</v>
      </c>
      <c r="N131" s="3">
        <f t="shared" si="10"/>
        <v>-0.5001421026</v>
      </c>
    </row>
    <row r="132" ht="14.25" customHeight="1">
      <c r="A132" s="3">
        <v>12.9</v>
      </c>
      <c r="B132" s="3">
        <v>115.13</v>
      </c>
      <c r="C132" s="3">
        <v>2.46</v>
      </c>
      <c r="E132" s="3">
        <f t="shared" si="1"/>
        <v>166.41</v>
      </c>
      <c r="F132" s="3">
        <f t="shared" si="2"/>
        <v>1485.177</v>
      </c>
      <c r="G132" s="3">
        <f t="shared" si="3"/>
        <v>114.2964643</v>
      </c>
      <c r="H132" s="3">
        <f t="shared" si="4"/>
        <v>2.131667658</v>
      </c>
      <c r="I132" s="3">
        <f t="shared" si="5"/>
        <v>19.02472074</v>
      </c>
      <c r="J132" s="3">
        <f t="shared" si="6"/>
        <v>27.49851279</v>
      </c>
      <c r="K132" s="3">
        <f t="shared" si="7"/>
        <v>245.4188975</v>
      </c>
      <c r="L132" s="3">
        <f t="shared" si="8"/>
        <v>0.1652455549</v>
      </c>
      <c r="M132" s="3">
        <f t="shared" si="9"/>
        <v>0.1148095946</v>
      </c>
      <c r="N132" s="3">
        <f t="shared" si="10"/>
        <v>0.3388356454</v>
      </c>
    </row>
    <row r="133" ht="14.25" customHeight="1">
      <c r="A133" s="3">
        <v>13.0</v>
      </c>
      <c r="B133" s="3">
        <v>118.74</v>
      </c>
      <c r="C133" s="3">
        <v>2.53</v>
      </c>
      <c r="E133" s="3">
        <f t="shared" si="1"/>
        <v>169</v>
      </c>
      <c r="F133" s="3">
        <f t="shared" si="2"/>
        <v>1543.62</v>
      </c>
      <c r="G133" s="3">
        <f t="shared" si="3"/>
        <v>115.1575208</v>
      </c>
      <c r="H133" s="3">
        <f t="shared" si="4"/>
        <v>2.030964396</v>
      </c>
      <c r="I133" s="3">
        <f t="shared" si="5"/>
        <v>18.55051633</v>
      </c>
      <c r="J133" s="3">
        <f t="shared" si="6"/>
        <v>26.40253714</v>
      </c>
      <c r="K133" s="3">
        <f t="shared" si="7"/>
        <v>241.1567123</v>
      </c>
      <c r="L133" s="3">
        <f t="shared" si="8"/>
        <v>0.1562280304</v>
      </c>
      <c r="M133" s="3">
        <f t="shared" si="9"/>
        <v>2.005055115</v>
      </c>
      <c r="N133" s="3">
        <f t="shared" si="10"/>
        <v>1.415999688</v>
      </c>
    </row>
    <row r="134" ht="14.25" customHeight="1">
      <c r="A134" s="3">
        <v>13.1</v>
      </c>
      <c r="B134" s="3">
        <v>116.27</v>
      </c>
      <c r="C134" s="3">
        <v>2.83</v>
      </c>
      <c r="E134" s="3">
        <f t="shared" si="1"/>
        <v>171.61</v>
      </c>
      <c r="F134" s="3">
        <f t="shared" si="2"/>
        <v>1523.137</v>
      </c>
      <c r="G134" s="3">
        <f t="shared" si="3"/>
        <v>116.0185773</v>
      </c>
      <c r="H134" s="3">
        <f t="shared" si="4"/>
        <v>1.635680306</v>
      </c>
      <c r="I134" s="3">
        <f t="shared" si="5"/>
        <v>14.51759917</v>
      </c>
      <c r="J134" s="3">
        <f t="shared" si="6"/>
        <v>21.427412</v>
      </c>
      <c r="K134" s="3">
        <f t="shared" si="7"/>
        <v>190.1805491</v>
      </c>
      <c r="L134" s="3">
        <f t="shared" si="8"/>
        <v>0.124861092</v>
      </c>
      <c r="M134" s="3">
        <f t="shared" si="9"/>
        <v>0.007892892922</v>
      </c>
      <c r="N134" s="3">
        <f t="shared" si="10"/>
        <v>0.08884195474</v>
      </c>
    </row>
    <row r="135" ht="14.25" customHeight="1">
      <c r="A135" s="3">
        <v>13.2</v>
      </c>
      <c r="B135" s="3">
        <v>119.12</v>
      </c>
      <c r="C135" s="3">
        <v>3.28</v>
      </c>
      <c r="E135" s="3">
        <f t="shared" si="1"/>
        <v>174.24</v>
      </c>
      <c r="F135" s="3">
        <f t="shared" si="2"/>
        <v>1572.384</v>
      </c>
      <c r="G135" s="3">
        <f t="shared" si="3"/>
        <v>116.8796337</v>
      </c>
      <c r="H135" s="3">
        <f t="shared" si="4"/>
        <v>1.226948245</v>
      </c>
      <c r="I135" s="3">
        <f t="shared" si="5"/>
        <v>11.07227841</v>
      </c>
      <c r="J135" s="3">
        <f t="shared" si="6"/>
        <v>16.19571684</v>
      </c>
      <c r="K135" s="3">
        <f t="shared" si="7"/>
        <v>146.154075</v>
      </c>
      <c r="L135" s="3">
        <f t="shared" si="8"/>
        <v>0.09295062463</v>
      </c>
      <c r="M135" s="3">
        <f t="shared" si="9"/>
        <v>0.4665415817</v>
      </c>
      <c r="N135" s="3">
        <f t="shared" si="10"/>
        <v>0.6830384921</v>
      </c>
    </row>
    <row r="136" ht="14.25" customHeight="1">
      <c r="A136" s="3">
        <v>13.3</v>
      </c>
      <c r="B136" s="3">
        <v>113.97</v>
      </c>
      <c r="C136" s="3">
        <v>2.54</v>
      </c>
      <c r="E136" s="3">
        <f t="shared" si="1"/>
        <v>176.89</v>
      </c>
      <c r="F136" s="3">
        <f t="shared" si="2"/>
        <v>1515.801</v>
      </c>
      <c r="G136" s="3">
        <f t="shared" si="3"/>
        <v>117.7406902</v>
      </c>
      <c r="H136" s="3">
        <f t="shared" si="4"/>
        <v>2.061504123</v>
      </c>
      <c r="I136" s="3">
        <f t="shared" si="5"/>
        <v>17.66538533</v>
      </c>
      <c r="J136" s="3">
        <f t="shared" si="6"/>
        <v>27.41800484</v>
      </c>
      <c r="K136" s="3">
        <f t="shared" si="7"/>
        <v>234.9496249</v>
      </c>
      <c r="L136" s="3">
        <f t="shared" si="8"/>
        <v>0.15500031</v>
      </c>
      <c r="M136" s="3">
        <f t="shared" si="9"/>
        <v>2.203810646</v>
      </c>
      <c r="N136" s="3">
        <f t="shared" si="10"/>
        <v>-1.48452371</v>
      </c>
    </row>
    <row r="137" ht="14.25" customHeight="1">
      <c r="A137" s="3">
        <v>13.4</v>
      </c>
      <c r="B137" s="3">
        <v>119.48</v>
      </c>
      <c r="C137" s="3">
        <v>2.68</v>
      </c>
      <c r="E137" s="3">
        <f t="shared" si="1"/>
        <v>179.56</v>
      </c>
      <c r="F137" s="3">
        <f t="shared" si="2"/>
        <v>1601.032</v>
      </c>
      <c r="G137" s="3">
        <f t="shared" si="3"/>
        <v>118.6017467</v>
      </c>
      <c r="H137" s="3">
        <f t="shared" si="4"/>
        <v>1.865671642</v>
      </c>
      <c r="I137" s="3">
        <f t="shared" si="5"/>
        <v>16.63510804</v>
      </c>
      <c r="J137" s="3">
        <f t="shared" si="6"/>
        <v>25</v>
      </c>
      <c r="K137" s="3">
        <f t="shared" si="7"/>
        <v>222.9104478</v>
      </c>
      <c r="L137" s="3">
        <f t="shared" si="8"/>
        <v>0.139229227</v>
      </c>
      <c r="M137" s="3">
        <f t="shared" si="9"/>
        <v>0.1073915204</v>
      </c>
      <c r="N137" s="3">
        <f t="shared" si="10"/>
        <v>0.3277064546</v>
      </c>
    </row>
    <row r="138" ht="14.25" customHeight="1">
      <c r="A138" s="3">
        <v>13.5</v>
      </c>
      <c r="B138" s="3">
        <v>118.66</v>
      </c>
      <c r="C138" s="3">
        <v>2.79</v>
      </c>
      <c r="E138" s="3">
        <f t="shared" si="1"/>
        <v>182.25</v>
      </c>
      <c r="F138" s="3">
        <f t="shared" si="2"/>
        <v>1601.91</v>
      </c>
      <c r="G138" s="3">
        <f t="shared" si="3"/>
        <v>119.4628032</v>
      </c>
      <c r="H138" s="3">
        <f t="shared" si="4"/>
        <v>1.734304544</v>
      </c>
      <c r="I138" s="3">
        <f t="shared" si="5"/>
        <v>15.24389461</v>
      </c>
      <c r="J138" s="3">
        <f t="shared" si="6"/>
        <v>23.41311134</v>
      </c>
      <c r="K138" s="3">
        <f t="shared" si="7"/>
        <v>205.7925772</v>
      </c>
      <c r="L138" s="3">
        <f t="shared" si="8"/>
        <v>0.1284670033</v>
      </c>
      <c r="M138" s="3">
        <f t="shared" si="9"/>
        <v>0.08279607727</v>
      </c>
      <c r="N138" s="3">
        <f t="shared" si="10"/>
        <v>-0.2877430751</v>
      </c>
    </row>
    <row r="139" ht="14.25" customHeight="1">
      <c r="A139" s="3">
        <v>13.6</v>
      </c>
      <c r="B139" s="3">
        <v>122.3</v>
      </c>
      <c r="C139" s="3">
        <v>2.29</v>
      </c>
      <c r="E139" s="3">
        <f t="shared" si="1"/>
        <v>184.96</v>
      </c>
      <c r="F139" s="3">
        <f t="shared" si="2"/>
        <v>1663.28</v>
      </c>
      <c r="G139" s="3">
        <f t="shared" si="3"/>
        <v>120.3238597</v>
      </c>
      <c r="H139" s="3">
        <f t="shared" si="4"/>
        <v>2.593390668</v>
      </c>
      <c r="I139" s="3">
        <f t="shared" si="5"/>
        <v>23.32144696</v>
      </c>
      <c r="J139" s="3">
        <f t="shared" si="6"/>
        <v>35.27011308</v>
      </c>
      <c r="K139" s="3">
        <f t="shared" si="7"/>
        <v>317.1716786</v>
      </c>
      <c r="L139" s="3">
        <f t="shared" si="8"/>
        <v>0.1906904903</v>
      </c>
      <c r="M139" s="3">
        <f t="shared" si="9"/>
        <v>0.7446712789</v>
      </c>
      <c r="N139" s="3">
        <f t="shared" si="10"/>
        <v>0.8629433811</v>
      </c>
    </row>
    <row r="140" ht="14.25" customHeight="1">
      <c r="A140" s="3">
        <v>13.7</v>
      </c>
      <c r="B140" s="3">
        <v>118.46</v>
      </c>
      <c r="C140" s="3">
        <v>2.33</v>
      </c>
      <c r="E140" s="3">
        <f t="shared" si="1"/>
        <v>187.69</v>
      </c>
      <c r="F140" s="3">
        <f t="shared" si="2"/>
        <v>1622.902</v>
      </c>
      <c r="G140" s="3">
        <f t="shared" si="3"/>
        <v>121.1849161</v>
      </c>
      <c r="H140" s="3">
        <f t="shared" si="4"/>
        <v>2.52353147</v>
      </c>
      <c r="I140" s="3">
        <f t="shared" si="5"/>
        <v>21.82025825</v>
      </c>
      <c r="J140" s="3">
        <f t="shared" si="6"/>
        <v>34.57238115</v>
      </c>
      <c r="K140" s="3">
        <f t="shared" si="7"/>
        <v>298.937538</v>
      </c>
      <c r="L140" s="3">
        <f t="shared" si="8"/>
        <v>0.1841993774</v>
      </c>
      <c r="M140" s="3">
        <f t="shared" si="9"/>
        <v>1.367711312</v>
      </c>
      <c r="N140" s="3">
        <f t="shared" si="10"/>
        <v>-1.169491904</v>
      </c>
    </row>
    <row r="141" ht="14.25" customHeight="1">
      <c r="A141" s="3">
        <v>13.8</v>
      </c>
      <c r="B141" s="3">
        <v>120.99</v>
      </c>
      <c r="C141" s="3">
        <v>1.45</v>
      </c>
      <c r="E141" s="3">
        <f t="shared" si="1"/>
        <v>190.44</v>
      </c>
      <c r="F141" s="3">
        <f t="shared" si="2"/>
        <v>1669.662</v>
      </c>
      <c r="G141" s="3">
        <f t="shared" si="3"/>
        <v>122.0459726</v>
      </c>
      <c r="H141" s="3">
        <f t="shared" si="4"/>
        <v>6.563614744</v>
      </c>
      <c r="I141" s="3">
        <f t="shared" si="5"/>
        <v>57.54577883</v>
      </c>
      <c r="J141" s="3">
        <f t="shared" si="6"/>
        <v>90.57788347</v>
      </c>
      <c r="K141" s="3">
        <f t="shared" si="7"/>
        <v>794.1317479</v>
      </c>
      <c r="L141" s="3">
        <f t="shared" si="8"/>
        <v>0.4756242568</v>
      </c>
      <c r="M141" s="3">
        <f t="shared" si="9"/>
        <v>0.530358221</v>
      </c>
      <c r="N141" s="3">
        <f t="shared" si="10"/>
        <v>-0.7282569746</v>
      </c>
    </row>
    <row r="142" ht="14.25" customHeight="1">
      <c r="A142" s="3">
        <v>13.9</v>
      </c>
      <c r="B142" s="3">
        <v>124.42</v>
      </c>
      <c r="C142" s="3">
        <v>2.07</v>
      </c>
      <c r="E142" s="3">
        <f t="shared" si="1"/>
        <v>193.21</v>
      </c>
      <c r="F142" s="3">
        <f t="shared" si="2"/>
        <v>1729.438</v>
      </c>
      <c r="G142" s="3">
        <f t="shared" si="3"/>
        <v>122.9070291</v>
      </c>
      <c r="H142" s="3">
        <f t="shared" si="4"/>
        <v>3.243949684</v>
      </c>
      <c r="I142" s="3">
        <f t="shared" si="5"/>
        <v>29.03685033</v>
      </c>
      <c r="J142" s="3">
        <f t="shared" si="6"/>
        <v>45.0909006</v>
      </c>
      <c r="K142" s="3">
        <f t="shared" si="7"/>
        <v>403.6122197</v>
      </c>
      <c r="L142" s="3">
        <f t="shared" si="8"/>
        <v>0.2333776751</v>
      </c>
      <c r="M142" s="3">
        <f t="shared" si="9"/>
        <v>0.5342203952</v>
      </c>
      <c r="N142" s="3">
        <f t="shared" si="10"/>
        <v>0.7309038208</v>
      </c>
    </row>
    <row r="143" ht="14.25" customHeight="1">
      <c r="A143" s="3">
        <v>14.0</v>
      </c>
      <c r="B143" s="3">
        <v>123.39</v>
      </c>
      <c r="C143" s="3">
        <v>2.76</v>
      </c>
      <c r="E143" s="3">
        <f t="shared" si="1"/>
        <v>196</v>
      </c>
      <c r="F143" s="3">
        <f t="shared" si="2"/>
        <v>1727.46</v>
      </c>
      <c r="G143" s="3">
        <f t="shared" si="3"/>
        <v>123.7680856</v>
      </c>
      <c r="H143" s="3">
        <f t="shared" si="4"/>
        <v>1.837849191</v>
      </c>
      <c r="I143" s="3">
        <f t="shared" si="5"/>
        <v>16.19801512</v>
      </c>
      <c r="J143" s="3">
        <f t="shared" si="6"/>
        <v>25.72988868</v>
      </c>
      <c r="K143" s="3">
        <f t="shared" si="7"/>
        <v>226.7722117</v>
      </c>
      <c r="L143" s="3">
        <f t="shared" si="8"/>
        <v>0.1312749422</v>
      </c>
      <c r="M143" s="3">
        <f t="shared" si="9"/>
        <v>0.01876558199</v>
      </c>
      <c r="N143" s="3">
        <f t="shared" si="10"/>
        <v>-0.1369875249</v>
      </c>
    </row>
    <row r="144" ht="14.25" customHeight="1">
      <c r="A144" s="3">
        <v>14.1</v>
      </c>
      <c r="B144" s="3">
        <v>120.07</v>
      </c>
      <c r="C144" s="3">
        <v>2.44</v>
      </c>
      <c r="E144" s="3">
        <f t="shared" si="1"/>
        <v>198.81</v>
      </c>
      <c r="F144" s="3">
        <f t="shared" si="2"/>
        <v>1692.987</v>
      </c>
      <c r="G144" s="3">
        <f t="shared" si="3"/>
        <v>124.629142</v>
      </c>
      <c r="H144" s="3">
        <f t="shared" si="4"/>
        <v>2.368314969</v>
      </c>
      <c r="I144" s="3">
        <f t="shared" si="5"/>
        <v>20.16762967</v>
      </c>
      <c r="J144" s="3">
        <f t="shared" si="6"/>
        <v>33.39324106</v>
      </c>
      <c r="K144" s="3">
        <f t="shared" si="7"/>
        <v>284.3635783</v>
      </c>
      <c r="L144" s="3">
        <f t="shared" si="8"/>
        <v>0.1679656006</v>
      </c>
      <c r="M144" s="3">
        <f t="shared" si="9"/>
        <v>3.491295385</v>
      </c>
      <c r="N144" s="3">
        <f t="shared" si="10"/>
        <v>-1.868500839</v>
      </c>
    </row>
    <row r="145" ht="14.25" customHeight="1">
      <c r="A145" s="3">
        <v>14.2</v>
      </c>
      <c r="B145" s="3">
        <v>123.78</v>
      </c>
      <c r="C145" s="3">
        <v>1.41</v>
      </c>
      <c r="E145" s="3">
        <f t="shared" si="1"/>
        <v>201.64</v>
      </c>
      <c r="F145" s="3">
        <f t="shared" si="2"/>
        <v>1757.676</v>
      </c>
      <c r="G145" s="3">
        <f t="shared" si="3"/>
        <v>125.4901985</v>
      </c>
      <c r="H145" s="3">
        <f t="shared" si="4"/>
        <v>7.142497862</v>
      </c>
      <c r="I145" s="3">
        <f t="shared" si="5"/>
        <v>62.26044968</v>
      </c>
      <c r="J145" s="3">
        <f t="shared" si="6"/>
        <v>101.4234696</v>
      </c>
      <c r="K145" s="3">
        <f t="shared" si="7"/>
        <v>884.0983854</v>
      </c>
      <c r="L145" s="3">
        <f t="shared" si="8"/>
        <v>0.5029928072</v>
      </c>
      <c r="M145" s="3">
        <f t="shared" si="9"/>
        <v>1.471142796</v>
      </c>
      <c r="N145" s="3">
        <f t="shared" si="10"/>
        <v>-1.212906755</v>
      </c>
    </row>
    <row r="146" ht="14.25" customHeight="1">
      <c r="A146" s="3">
        <v>14.3</v>
      </c>
      <c r="B146" s="3">
        <v>121.55</v>
      </c>
      <c r="C146" s="3">
        <v>2.19</v>
      </c>
      <c r="E146" s="3">
        <f t="shared" si="1"/>
        <v>204.49</v>
      </c>
      <c r="F146" s="3">
        <f t="shared" si="2"/>
        <v>1738.165</v>
      </c>
      <c r="G146" s="3">
        <f t="shared" si="3"/>
        <v>126.351255</v>
      </c>
      <c r="H146" s="3">
        <f t="shared" si="4"/>
        <v>2.981589208</v>
      </c>
      <c r="I146" s="3">
        <f t="shared" si="5"/>
        <v>25.34350827</v>
      </c>
      <c r="J146" s="3">
        <f t="shared" si="6"/>
        <v>42.63672567</v>
      </c>
      <c r="K146" s="3">
        <f t="shared" si="7"/>
        <v>362.4121682</v>
      </c>
      <c r="L146" s="3">
        <f t="shared" si="8"/>
        <v>0.2085027418</v>
      </c>
      <c r="M146" s="3">
        <f t="shared" si="9"/>
        <v>4.806415546</v>
      </c>
      <c r="N146" s="3">
        <f t="shared" si="10"/>
        <v>-2.192353882</v>
      </c>
    </row>
    <row r="147" ht="14.25" customHeight="1">
      <c r="A147" s="3">
        <v>14.4</v>
      </c>
      <c r="B147" s="3">
        <v>126.72</v>
      </c>
      <c r="C147" s="3">
        <v>2.62</v>
      </c>
      <c r="E147" s="3">
        <f t="shared" si="1"/>
        <v>207.36</v>
      </c>
      <c r="F147" s="3">
        <f t="shared" si="2"/>
        <v>1824.768</v>
      </c>
      <c r="G147" s="3">
        <f t="shared" si="3"/>
        <v>127.2123115</v>
      </c>
      <c r="H147" s="3">
        <f t="shared" si="4"/>
        <v>2.09777985</v>
      </c>
      <c r="I147" s="3">
        <f t="shared" si="5"/>
        <v>18.46046268</v>
      </c>
      <c r="J147" s="3">
        <f t="shared" si="6"/>
        <v>30.20802984</v>
      </c>
      <c r="K147" s="3">
        <f t="shared" si="7"/>
        <v>265.8306625</v>
      </c>
      <c r="L147" s="3">
        <f t="shared" si="8"/>
        <v>0.1456791562</v>
      </c>
      <c r="M147" s="3">
        <f t="shared" si="9"/>
        <v>0.03530834357</v>
      </c>
      <c r="N147" s="3">
        <f t="shared" si="10"/>
        <v>-0.1879051452</v>
      </c>
    </row>
    <row r="148" ht="14.25" customHeight="1">
      <c r="A148" s="3">
        <v>14.5</v>
      </c>
      <c r="B148" s="3">
        <v>125.7</v>
      </c>
      <c r="C148" s="3">
        <v>3.53</v>
      </c>
      <c r="E148" s="3">
        <f t="shared" si="1"/>
        <v>210.25</v>
      </c>
      <c r="F148" s="3">
        <f t="shared" si="2"/>
        <v>1822.65</v>
      </c>
      <c r="G148" s="3">
        <f t="shared" si="3"/>
        <v>128.073368</v>
      </c>
      <c r="H148" s="3">
        <f t="shared" si="4"/>
        <v>1.163639865</v>
      </c>
      <c r="I148" s="3">
        <f t="shared" si="5"/>
        <v>10.08755387</v>
      </c>
      <c r="J148" s="3">
        <f t="shared" si="6"/>
        <v>16.87277805</v>
      </c>
      <c r="K148" s="3">
        <f t="shared" si="7"/>
        <v>146.2695311</v>
      </c>
      <c r="L148" s="3">
        <f t="shared" si="8"/>
        <v>0.08025102521</v>
      </c>
      <c r="M148" s="3">
        <f t="shared" si="9"/>
        <v>0.4520440309</v>
      </c>
      <c r="N148" s="3">
        <f t="shared" si="10"/>
        <v>-0.6723421978</v>
      </c>
    </row>
    <row r="149" ht="14.25" customHeight="1">
      <c r="A149" s="3">
        <v>14.6</v>
      </c>
      <c r="B149" s="3">
        <v>125.84</v>
      </c>
      <c r="C149" s="3">
        <v>2.46</v>
      </c>
      <c r="E149" s="3">
        <f t="shared" si="1"/>
        <v>213.16</v>
      </c>
      <c r="F149" s="3">
        <f t="shared" si="2"/>
        <v>1837.264</v>
      </c>
      <c r="G149" s="3">
        <f t="shared" si="3"/>
        <v>128.9344244</v>
      </c>
      <c r="H149" s="3">
        <f t="shared" si="4"/>
        <v>2.412585101</v>
      </c>
      <c r="I149" s="3">
        <f t="shared" si="5"/>
        <v>20.79450063</v>
      </c>
      <c r="J149" s="3">
        <f t="shared" si="6"/>
        <v>35.22374248</v>
      </c>
      <c r="K149" s="3">
        <f t="shared" si="7"/>
        <v>303.5997092</v>
      </c>
      <c r="L149" s="3">
        <f t="shared" si="8"/>
        <v>0.1652455549</v>
      </c>
      <c r="M149" s="3">
        <f t="shared" si="9"/>
        <v>1.582302629</v>
      </c>
      <c r="N149" s="3">
        <f t="shared" si="10"/>
        <v>-1.257896112</v>
      </c>
    </row>
    <row r="150" ht="14.25" customHeight="1">
      <c r="A150" s="3">
        <v>14.7</v>
      </c>
      <c r="B150" s="3">
        <v>128.7</v>
      </c>
      <c r="C150" s="3">
        <v>3.77</v>
      </c>
      <c r="E150" s="3">
        <f t="shared" si="1"/>
        <v>216.09</v>
      </c>
      <c r="F150" s="3">
        <f t="shared" si="2"/>
        <v>1891.89</v>
      </c>
      <c r="G150" s="3">
        <f t="shared" si="3"/>
        <v>129.7954809</v>
      </c>
      <c r="H150" s="3">
        <f t="shared" si="4"/>
        <v>1.034271683</v>
      </c>
      <c r="I150" s="3">
        <f t="shared" si="5"/>
        <v>9.055154121</v>
      </c>
      <c r="J150" s="3">
        <f t="shared" si="6"/>
        <v>15.20379374</v>
      </c>
      <c r="K150" s="3">
        <f t="shared" si="7"/>
        <v>133.1107656</v>
      </c>
      <c r="L150" s="3">
        <f t="shared" si="8"/>
        <v>0.07035861788</v>
      </c>
      <c r="M150" s="3">
        <f t="shared" si="9"/>
        <v>0.08443585987</v>
      </c>
      <c r="N150" s="3">
        <f t="shared" si="10"/>
        <v>-0.2905784917</v>
      </c>
    </row>
    <row r="151" ht="14.25" customHeight="1">
      <c r="A151" s="3">
        <v>14.8</v>
      </c>
      <c r="B151" s="3">
        <v>130.69</v>
      </c>
      <c r="C151" s="3">
        <v>3.23</v>
      </c>
      <c r="E151" s="3">
        <f t="shared" si="1"/>
        <v>219.04</v>
      </c>
      <c r="F151" s="3">
        <f t="shared" si="2"/>
        <v>1934.212</v>
      </c>
      <c r="G151" s="3">
        <f t="shared" si="3"/>
        <v>130.6565374</v>
      </c>
      <c r="H151" s="3">
        <f t="shared" si="4"/>
        <v>1.41858927</v>
      </c>
      <c r="I151" s="3">
        <f t="shared" si="5"/>
        <v>12.52671836</v>
      </c>
      <c r="J151" s="3">
        <f t="shared" si="6"/>
        <v>20.9951212</v>
      </c>
      <c r="K151" s="3">
        <f t="shared" si="7"/>
        <v>185.3954318</v>
      </c>
      <c r="L151" s="3">
        <f t="shared" si="8"/>
        <v>0.09585062638</v>
      </c>
      <c r="M151" s="3">
        <f t="shared" si="9"/>
        <v>0.00010732837</v>
      </c>
      <c r="N151" s="3">
        <f t="shared" si="10"/>
        <v>0.01035994064</v>
      </c>
    </row>
    <row r="152" ht="14.25" customHeight="1">
      <c r="A152" s="3">
        <v>14.9</v>
      </c>
      <c r="B152" s="3">
        <v>132.51</v>
      </c>
      <c r="C152" s="3">
        <v>1.39</v>
      </c>
      <c r="E152" s="3">
        <f t="shared" si="1"/>
        <v>222.01</v>
      </c>
      <c r="F152" s="3">
        <f t="shared" si="2"/>
        <v>1974.399</v>
      </c>
      <c r="G152" s="3">
        <f t="shared" si="3"/>
        <v>131.5175939</v>
      </c>
      <c r="H152" s="3">
        <f t="shared" si="4"/>
        <v>7.711816159</v>
      </c>
      <c r="I152" s="3">
        <f t="shared" si="5"/>
        <v>68.58340666</v>
      </c>
      <c r="J152" s="3">
        <f t="shared" si="6"/>
        <v>114.9060608</v>
      </c>
      <c r="K152" s="3">
        <f t="shared" si="7"/>
        <v>1021.892759</v>
      </c>
      <c r="L152" s="3">
        <f t="shared" si="8"/>
        <v>0.5175715543</v>
      </c>
      <c r="M152" s="3">
        <f t="shared" si="9"/>
        <v>0.5097406592</v>
      </c>
      <c r="N152" s="3">
        <f t="shared" si="10"/>
        <v>0.7139612449</v>
      </c>
    </row>
    <row r="153" ht="14.25" customHeight="1">
      <c r="A153" s="3">
        <v>15.0</v>
      </c>
      <c r="B153" s="3">
        <v>132.91</v>
      </c>
      <c r="C153" s="3">
        <v>1.64</v>
      </c>
      <c r="E153" s="3">
        <f t="shared" si="1"/>
        <v>225</v>
      </c>
      <c r="F153" s="3">
        <f t="shared" si="2"/>
        <v>1993.65</v>
      </c>
      <c r="G153" s="3">
        <f t="shared" si="3"/>
        <v>132.3786503</v>
      </c>
      <c r="H153" s="3">
        <f t="shared" si="4"/>
        <v>5.577037478</v>
      </c>
      <c r="I153" s="3">
        <f t="shared" si="5"/>
        <v>49.41627008</v>
      </c>
      <c r="J153" s="3">
        <f t="shared" si="6"/>
        <v>83.65556217</v>
      </c>
      <c r="K153" s="3">
        <f t="shared" si="7"/>
        <v>741.2440512</v>
      </c>
      <c r="L153" s="3">
        <f t="shared" si="8"/>
        <v>0.3718024985</v>
      </c>
      <c r="M153" s="3">
        <f t="shared" si="9"/>
        <v>0.1049719115</v>
      </c>
      <c r="N153" s="3">
        <f t="shared" si="10"/>
        <v>0.3239936906</v>
      </c>
    </row>
    <row r="154" ht="14.25" customHeight="1">
      <c r="A154" s="3">
        <v>15.1</v>
      </c>
      <c r="B154" s="3">
        <v>133.49</v>
      </c>
      <c r="C154" s="3">
        <v>3.48</v>
      </c>
      <c r="E154" s="3">
        <f t="shared" si="1"/>
        <v>228.01</v>
      </c>
      <c r="F154" s="3">
        <f t="shared" si="2"/>
        <v>2015.699</v>
      </c>
      <c r="G154" s="3">
        <f t="shared" si="3"/>
        <v>133.2397068</v>
      </c>
      <c r="H154" s="3">
        <f t="shared" si="4"/>
        <v>1.246862201</v>
      </c>
      <c r="I154" s="3">
        <f t="shared" si="5"/>
        <v>11.0227573</v>
      </c>
      <c r="J154" s="3">
        <f t="shared" si="6"/>
        <v>18.82761924</v>
      </c>
      <c r="K154" s="3">
        <f t="shared" si="7"/>
        <v>166.4436352</v>
      </c>
      <c r="L154" s="3">
        <f t="shared" si="8"/>
        <v>0.0825736557</v>
      </c>
      <c r="M154" s="3">
        <f t="shared" si="9"/>
        <v>0.005172964831</v>
      </c>
      <c r="N154" s="3">
        <f t="shared" si="10"/>
        <v>0.07192332605</v>
      </c>
    </row>
    <row r="155" ht="14.25" customHeight="1">
      <c r="A155" s="3">
        <v>15.2</v>
      </c>
      <c r="B155" s="3">
        <v>136.09</v>
      </c>
      <c r="C155" s="3">
        <v>3.03</v>
      </c>
      <c r="E155" s="3">
        <f t="shared" si="1"/>
        <v>231.04</v>
      </c>
      <c r="F155" s="3">
        <f t="shared" si="2"/>
        <v>2068.568</v>
      </c>
      <c r="G155" s="3">
        <f t="shared" si="3"/>
        <v>134.1007633</v>
      </c>
      <c r="H155" s="3">
        <f t="shared" si="4"/>
        <v>1.655611106</v>
      </c>
      <c r="I155" s="3">
        <f t="shared" si="5"/>
        <v>14.82316548</v>
      </c>
      <c r="J155" s="3">
        <f t="shared" si="6"/>
        <v>25.16528881</v>
      </c>
      <c r="K155" s="3">
        <f t="shared" si="7"/>
        <v>225.3121154</v>
      </c>
      <c r="L155" s="3">
        <f t="shared" si="8"/>
        <v>0.1089217833</v>
      </c>
      <c r="M155" s="3">
        <f t="shared" si="9"/>
        <v>0.4310103188</v>
      </c>
      <c r="N155" s="3">
        <f t="shared" si="10"/>
        <v>0.6565137613</v>
      </c>
    </row>
    <row r="156" ht="14.25" customHeight="1">
      <c r="A156" s="3">
        <v>15.3</v>
      </c>
      <c r="B156" s="3">
        <v>132.85</v>
      </c>
      <c r="C156" s="3">
        <v>3.92</v>
      </c>
      <c r="E156" s="3">
        <f t="shared" si="1"/>
        <v>234.09</v>
      </c>
      <c r="F156" s="3">
        <f t="shared" si="2"/>
        <v>2032.605</v>
      </c>
      <c r="G156" s="3">
        <f t="shared" si="3"/>
        <v>134.9618198</v>
      </c>
      <c r="H156" s="3">
        <f t="shared" si="4"/>
        <v>0.9956788838</v>
      </c>
      <c r="I156" s="3">
        <f t="shared" si="5"/>
        <v>8.645486256</v>
      </c>
      <c r="J156" s="3">
        <f t="shared" si="6"/>
        <v>15.23388692</v>
      </c>
      <c r="K156" s="3">
        <f t="shared" si="7"/>
        <v>132.2759397</v>
      </c>
      <c r="L156" s="3">
        <f t="shared" si="8"/>
        <v>0.06507705123</v>
      </c>
      <c r="M156" s="3">
        <f t="shared" si="9"/>
        <v>0.2902295129</v>
      </c>
      <c r="N156" s="3">
        <f t="shared" si="10"/>
        <v>-0.538729536</v>
      </c>
    </row>
    <row r="157" ht="14.25" customHeight="1">
      <c r="A157" s="3">
        <v>15.4</v>
      </c>
      <c r="B157" s="3">
        <v>133.49</v>
      </c>
      <c r="C157" s="3">
        <v>1.84</v>
      </c>
      <c r="E157" s="3">
        <f t="shared" si="1"/>
        <v>237.16</v>
      </c>
      <c r="F157" s="3">
        <f t="shared" si="2"/>
        <v>2055.746</v>
      </c>
      <c r="G157" s="3">
        <f t="shared" si="3"/>
        <v>135.8228763</v>
      </c>
      <c r="H157" s="3">
        <f t="shared" si="4"/>
        <v>4.548676749</v>
      </c>
      <c r="I157" s="3">
        <f t="shared" si="5"/>
        <v>39.42875709</v>
      </c>
      <c r="J157" s="3">
        <f t="shared" si="6"/>
        <v>70.04962193</v>
      </c>
      <c r="K157" s="3">
        <f t="shared" si="7"/>
        <v>607.2028592</v>
      </c>
      <c r="L157" s="3">
        <f t="shared" si="8"/>
        <v>0.29536862</v>
      </c>
      <c r="M157" s="3">
        <f t="shared" si="9"/>
        <v>1.607488079</v>
      </c>
      <c r="N157" s="3">
        <f t="shared" si="10"/>
        <v>-1.267867532</v>
      </c>
    </row>
    <row r="158" ht="14.25" customHeight="1">
      <c r="A158" s="3">
        <v>15.5</v>
      </c>
      <c r="B158" s="3">
        <v>134.68</v>
      </c>
      <c r="C158" s="3">
        <v>1.6</v>
      </c>
      <c r="E158" s="3">
        <f t="shared" si="1"/>
        <v>240.25</v>
      </c>
      <c r="F158" s="3">
        <f t="shared" si="2"/>
        <v>2087.54</v>
      </c>
      <c r="G158" s="3">
        <f t="shared" si="3"/>
        <v>136.6839327</v>
      </c>
      <c r="H158" s="3">
        <f t="shared" si="4"/>
        <v>6.0546875</v>
      </c>
      <c r="I158" s="3">
        <f t="shared" si="5"/>
        <v>52.609375</v>
      </c>
      <c r="J158" s="3">
        <f t="shared" si="6"/>
        <v>93.84765625</v>
      </c>
      <c r="K158" s="3">
        <f t="shared" si="7"/>
        <v>815.4453125</v>
      </c>
      <c r="L158" s="3">
        <f t="shared" si="8"/>
        <v>0.390625</v>
      </c>
      <c r="M158" s="3">
        <f t="shared" si="9"/>
        <v>1.568650943</v>
      </c>
      <c r="N158" s="3">
        <f t="shared" si="10"/>
        <v>-1.25245796</v>
      </c>
    </row>
    <row r="159" ht="14.25" customHeight="1">
      <c r="A159" s="3">
        <v>15.6</v>
      </c>
      <c r="B159" s="3">
        <v>141.11</v>
      </c>
      <c r="C159" s="3">
        <v>3.35</v>
      </c>
      <c r="E159" s="3">
        <f t="shared" si="1"/>
        <v>243.36</v>
      </c>
      <c r="F159" s="3">
        <f t="shared" si="2"/>
        <v>2201.316</v>
      </c>
      <c r="G159" s="3">
        <f t="shared" si="3"/>
        <v>137.5449892</v>
      </c>
      <c r="H159" s="3">
        <f t="shared" si="4"/>
        <v>1.390064602</v>
      </c>
      <c r="I159" s="3">
        <f t="shared" si="5"/>
        <v>12.57384718</v>
      </c>
      <c r="J159" s="3">
        <f t="shared" si="6"/>
        <v>21.6850078</v>
      </c>
      <c r="K159" s="3">
        <f t="shared" si="7"/>
        <v>196.152016</v>
      </c>
      <c r="L159" s="3">
        <f t="shared" si="8"/>
        <v>0.08910670528</v>
      </c>
      <c r="M159" s="3">
        <f t="shared" si="9"/>
        <v>1.132484019</v>
      </c>
      <c r="N159" s="3">
        <f t="shared" si="10"/>
        <v>1.064182324</v>
      </c>
    </row>
    <row r="160" ht="14.25" customHeight="1">
      <c r="A160" s="3">
        <v>15.7</v>
      </c>
      <c r="B160" s="3">
        <v>137.53</v>
      </c>
      <c r="C160" s="3">
        <v>2.16</v>
      </c>
      <c r="E160" s="3">
        <f t="shared" si="1"/>
        <v>246.49</v>
      </c>
      <c r="F160" s="3">
        <f t="shared" si="2"/>
        <v>2159.221</v>
      </c>
      <c r="G160" s="3">
        <f t="shared" si="3"/>
        <v>138.4060457</v>
      </c>
      <c r="H160" s="3">
        <f t="shared" si="4"/>
        <v>3.36505487</v>
      </c>
      <c r="I160" s="3">
        <f t="shared" si="5"/>
        <v>29.47745199</v>
      </c>
      <c r="J160" s="3">
        <f t="shared" si="6"/>
        <v>52.83136145</v>
      </c>
      <c r="K160" s="3">
        <f t="shared" si="7"/>
        <v>462.7959962</v>
      </c>
      <c r="L160" s="3">
        <f t="shared" si="8"/>
        <v>0.2143347051</v>
      </c>
      <c r="M160" s="3">
        <f t="shared" si="9"/>
        <v>0.1644924673</v>
      </c>
      <c r="N160" s="3">
        <f t="shared" si="10"/>
        <v>-0.4055767095</v>
      </c>
    </row>
    <row r="161" ht="14.25" customHeight="1">
      <c r="A161" s="3">
        <v>15.8</v>
      </c>
      <c r="B161" s="3">
        <v>135.44</v>
      </c>
      <c r="C161" s="3">
        <v>2.33</v>
      </c>
      <c r="E161" s="3">
        <f t="shared" si="1"/>
        <v>249.64</v>
      </c>
      <c r="F161" s="3">
        <f t="shared" si="2"/>
        <v>2139.952</v>
      </c>
      <c r="G161" s="3">
        <f t="shared" si="3"/>
        <v>139.2671022</v>
      </c>
      <c r="H161" s="3">
        <f t="shared" si="4"/>
        <v>2.910350163</v>
      </c>
      <c r="I161" s="3">
        <f t="shared" si="5"/>
        <v>24.94796368</v>
      </c>
      <c r="J161" s="3">
        <f t="shared" si="6"/>
        <v>45.98353258</v>
      </c>
      <c r="K161" s="3">
        <f t="shared" si="7"/>
        <v>394.1778261</v>
      </c>
      <c r="L161" s="3">
        <f t="shared" si="8"/>
        <v>0.1841993774</v>
      </c>
      <c r="M161" s="3">
        <f t="shared" si="9"/>
        <v>2.697915051</v>
      </c>
      <c r="N161" s="3">
        <f t="shared" si="10"/>
        <v>-1.64253312</v>
      </c>
    </row>
    <row r="162" ht="14.25" customHeight="1">
      <c r="A162" s="3">
        <v>15.9</v>
      </c>
      <c r="B162" s="3">
        <v>138.67</v>
      </c>
      <c r="C162" s="3">
        <v>2.34</v>
      </c>
      <c r="E162" s="3">
        <f t="shared" si="1"/>
        <v>252.81</v>
      </c>
      <c r="F162" s="3">
        <f t="shared" si="2"/>
        <v>2204.853</v>
      </c>
      <c r="G162" s="3">
        <f t="shared" si="3"/>
        <v>140.1281586</v>
      </c>
      <c r="H162" s="3">
        <f t="shared" si="4"/>
        <v>2.903791365</v>
      </c>
      <c r="I162" s="3">
        <f t="shared" si="5"/>
        <v>25.32507853</v>
      </c>
      <c r="J162" s="3">
        <f t="shared" si="6"/>
        <v>46.17028271</v>
      </c>
      <c r="K162" s="3">
        <f t="shared" si="7"/>
        <v>402.6687486</v>
      </c>
      <c r="L162" s="3">
        <f t="shared" si="8"/>
        <v>0.1826283878</v>
      </c>
      <c r="M162" s="3">
        <f t="shared" si="9"/>
        <v>0.3883093439</v>
      </c>
      <c r="N162" s="3">
        <f t="shared" si="10"/>
        <v>-0.6231447215</v>
      </c>
    </row>
    <row r="163" ht="14.25" customHeight="1">
      <c r="A163" s="3">
        <v>16.0</v>
      </c>
      <c r="B163" s="3">
        <v>139.73</v>
      </c>
      <c r="C163" s="3">
        <v>1.84</v>
      </c>
      <c r="E163" s="3">
        <f t="shared" si="1"/>
        <v>256</v>
      </c>
      <c r="F163" s="3">
        <f t="shared" si="2"/>
        <v>2235.68</v>
      </c>
      <c r="G163" s="3">
        <f t="shared" si="3"/>
        <v>140.9892151</v>
      </c>
      <c r="H163" s="3">
        <f t="shared" si="4"/>
        <v>4.725897921</v>
      </c>
      <c r="I163" s="3">
        <f t="shared" si="5"/>
        <v>41.27185728</v>
      </c>
      <c r="J163" s="3">
        <f t="shared" si="6"/>
        <v>75.61436673</v>
      </c>
      <c r="K163" s="3">
        <f t="shared" si="7"/>
        <v>660.3497164</v>
      </c>
      <c r="L163" s="3">
        <f t="shared" si="8"/>
        <v>0.29536862</v>
      </c>
      <c r="M163" s="3">
        <f t="shared" si="9"/>
        <v>0.4683431988</v>
      </c>
      <c r="N163" s="3">
        <f t="shared" si="10"/>
        <v>-0.6843560468</v>
      </c>
    </row>
    <row r="164" ht="14.25" customHeight="1">
      <c r="A164" s="3">
        <v>16.1</v>
      </c>
      <c r="B164" s="3">
        <v>142.54</v>
      </c>
      <c r="C164" s="3">
        <v>1.93</v>
      </c>
      <c r="E164" s="3">
        <f t="shared" si="1"/>
        <v>259.21</v>
      </c>
      <c r="F164" s="3">
        <f t="shared" si="2"/>
        <v>2294.894</v>
      </c>
      <c r="G164" s="3">
        <f t="shared" si="3"/>
        <v>141.8502716</v>
      </c>
      <c r="H164" s="3">
        <f t="shared" si="4"/>
        <v>4.322263685</v>
      </c>
      <c r="I164" s="3">
        <f t="shared" si="5"/>
        <v>38.26679911</v>
      </c>
      <c r="J164" s="3">
        <f t="shared" si="6"/>
        <v>69.58844533</v>
      </c>
      <c r="K164" s="3">
        <f t="shared" si="7"/>
        <v>616.0954657</v>
      </c>
      <c r="L164" s="3">
        <f t="shared" si="8"/>
        <v>0.2684635829</v>
      </c>
      <c r="M164" s="3">
        <f t="shared" si="9"/>
        <v>0.1277149079</v>
      </c>
      <c r="N164" s="3">
        <f t="shared" si="10"/>
        <v>0.3573722259</v>
      </c>
    </row>
    <row r="165" ht="14.25" customHeight="1">
      <c r="A165" s="3">
        <v>16.2</v>
      </c>
      <c r="B165" s="3">
        <v>147.78</v>
      </c>
      <c r="C165" s="3">
        <v>4.03</v>
      </c>
      <c r="E165" s="3">
        <f t="shared" si="1"/>
        <v>262.44</v>
      </c>
      <c r="F165" s="3">
        <f t="shared" si="2"/>
        <v>2394.036</v>
      </c>
      <c r="G165" s="3">
        <f t="shared" si="3"/>
        <v>142.7113281</v>
      </c>
      <c r="H165" s="3">
        <f t="shared" si="4"/>
        <v>0.9974816667</v>
      </c>
      <c r="I165" s="3">
        <f t="shared" si="5"/>
        <v>9.099249426</v>
      </c>
      <c r="J165" s="3">
        <f t="shared" si="6"/>
        <v>16.159203</v>
      </c>
      <c r="K165" s="3">
        <f t="shared" si="7"/>
        <v>147.4078407</v>
      </c>
      <c r="L165" s="3">
        <f t="shared" si="8"/>
        <v>0.06157294239</v>
      </c>
      <c r="M165" s="3">
        <f t="shared" si="9"/>
        <v>1.581897248</v>
      </c>
      <c r="N165" s="3">
        <f t="shared" si="10"/>
        <v>1.257734967</v>
      </c>
    </row>
    <row r="166" ht="14.25" customHeight="1">
      <c r="A166" s="3">
        <v>16.3</v>
      </c>
      <c r="B166" s="3">
        <v>143.31</v>
      </c>
      <c r="C166" s="3">
        <v>1.61</v>
      </c>
      <c r="E166" s="3">
        <f t="shared" si="1"/>
        <v>265.69</v>
      </c>
      <c r="F166" s="3">
        <f t="shared" si="2"/>
        <v>2335.953</v>
      </c>
      <c r="G166" s="3">
        <f t="shared" si="3"/>
        <v>143.5723846</v>
      </c>
      <c r="H166" s="3">
        <f t="shared" si="4"/>
        <v>6.288337641</v>
      </c>
      <c r="I166" s="3">
        <f t="shared" si="5"/>
        <v>55.28721886</v>
      </c>
      <c r="J166" s="3">
        <f t="shared" si="6"/>
        <v>102.4999036</v>
      </c>
      <c r="K166" s="3">
        <f t="shared" si="7"/>
        <v>901.1816674</v>
      </c>
      <c r="L166" s="3">
        <f t="shared" si="8"/>
        <v>0.3857875854</v>
      </c>
      <c r="M166" s="3">
        <f t="shared" si="9"/>
        <v>0.02655979984</v>
      </c>
      <c r="N166" s="3">
        <f t="shared" si="10"/>
        <v>-0.1629717762</v>
      </c>
    </row>
    <row r="167" ht="14.25" customHeight="1">
      <c r="A167" s="3">
        <v>16.4</v>
      </c>
      <c r="B167" s="3">
        <v>141.79</v>
      </c>
      <c r="C167" s="3">
        <v>2.48</v>
      </c>
      <c r="E167" s="3">
        <f t="shared" si="1"/>
        <v>268.96</v>
      </c>
      <c r="F167" s="3">
        <f t="shared" si="2"/>
        <v>2325.356</v>
      </c>
      <c r="G167" s="3">
        <f t="shared" si="3"/>
        <v>144.433441</v>
      </c>
      <c r="H167" s="3">
        <f t="shared" si="4"/>
        <v>2.666493236</v>
      </c>
      <c r="I167" s="3">
        <f t="shared" si="5"/>
        <v>23.05378512</v>
      </c>
      <c r="J167" s="3">
        <f t="shared" si="6"/>
        <v>43.73048907</v>
      </c>
      <c r="K167" s="3">
        <f t="shared" si="7"/>
        <v>378.082076</v>
      </c>
      <c r="L167" s="3">
        <f t="shared" si="8"/>
        <v>0.162591051</v>
      </c>
      <c r="M167" s="3">
        <f t="shared" si="9"/>
        <v>1.136150579</v>
      </c>
      <c r="N167" s="3">
        <f t="shared" si="10"/>
        <v>-1.065903644</v>
      </c>
    </row>
    <row r="168" ht="14.25" customHeight="1">
      <c r="A168" s="3">
        <v>16.5</v>
      </c>
      <c r="B168" s="3">
        <v>145.99</v>
      </c>
      <c r="C168" s="3">
        <v>4.18</v>
      </c>
      <c r="E168" s="3">
        <f t="shared" si="1"/>
        <v>272.25</v>
      </c>
      <c r="F168" s="3">
        <f t="shared" si="2"/>
        <v>2408.835</v>
      </c>
      <c r="G168" s="3">
        <f t="shared" si="3"/>
        <v>145.2944975</v>
      </c>
      <c r="H168" s="3">
        <f t="shared" si="4"/>
        <v>0.9443465122</v>
      </c>
      <c r="I168" s="3">
        <f t="shared" si="5"/>
        <v>8.355463474</v>
      </c>
      <c r="J168" s="3">
        <f t="shared" si="6"/>
        <v>15.58171745</v>
      </c>
      <c r="K168" s="3">
        <f t="shared" si="7"/>
        <v>137.8651473</v>
      </c>
      <c r="L168" s="3">
        <f t="shared" si="8"/>
        <v>0.05723312195</v>
      </c>
      <c r="M168" s="3">
        <f t="shared" si="9"/>
        <v>0.02768501786</v>
      </c>
      <c r="N168" s="3">
        <f t="shared" si="10"/>
        <v>0.1663881542</v>
      </c>
    </row>
    <row r="169" ht="14.25" customHeight="1">
      <c r="A169" s="3">
        <v>16.6</v>
      </c>
      <c r="B169" s="3">
        <v>146.36</v>
      </c>
      <c r="C169" s="3">
        <v>2.01</v>
      </c>
      <c r="E169" s="3">
        <f t="shared" si="1"/>
        <v>275.56</v>
      </c>
      <c r="F169" s="3">
        <f t="shared" si="2"/>
        <v>2429.576</v>
      </c>
      <c r="G169" s="3">
        <f t="shared" si="3"/>
        <v>146.155554</v>
      </c>
      <c r="H169" s="3">
        <f t="shared" si="4"/>
        <v>4.108809188</v>
      </c>
      <c r="I169" s="3">
        <f t="shared" si="5"/>
        <v>36.22682607</v>
      </c>
      <c r="J169" s="3">
        <f t="shared" si="6"/>
        <v>68.20623252</v>
      </c>
      <c r="K169" s="3">
        <f t="shared" si="7"/>
        <v>601.3653127</v>
      </c>
      <c r="L169" s="3">
        <f t="shared" si="8"/>
        <v>0.2475186258</v>
      </c>
      <c r="M169" s="3">
        <f t="shared" si="9"/>
        <v>0.01034582552</v>
      </c>
      <c r="N169" s="3">
        <f t="shared" si="10"/>
        <v>0.1017144312</v>
      </c>
    </row>
    <row r="170" ht="14.25" customHeight="1">
      <c r="A170" s="3">
        <v>16.7</v>
      </c>
      <c r="B170" s="3">
        <v>145.78</v>
      </c>
      <c r="C170" s="3">
        <v>1.5</v>
      </c>
      <c r="E170" s="3">
        <f t="shared" si="1"/>
        <v>278.89</v>
      </c>
      <c r="F170" s="3">
        <f t="shared" si="2"/>
        <v>2434.526</v>
      </c>
      <c r="G170" s="3">
        <f t="shared" si="3"/>
        <v>147.0166105</v>
      </c>
      <c r="H170" s="3">
        <f t="shared" si="4"/>
        <v>7.422222222</v>
      </c>
      <c r="I170" s="3">
        <f t="shared" si="5"/>
        <v>64.79111111</v>
      </c>
      <c r="J170" s="3">
        <f t="shared" si="6"/>
        <v>123.9511111</v>
      </c>
      <c r="K170" s="3">
        <f t="shared" si="7"/>
        <v>1082.011556</v>
      </c>
      <c r="L170" s="3">
        <f t="shared" si="8"/>
        <v>0.4444444444</v>
      </c>
      <c r="M170" s="3">
        <f t="shared" si="9"/>
        <v>0.6796468699</v>
      </c>
      <c r="N170" s="3">
        <f t="shared" si="10"/>
        <v>-0.8244069808</v>
      </c>
    </row>
    <row r="171" ht="14.25" customHeight="1">
      <c r="A171" s="3">
        <v>16.8</v>
      </c>
      <c r="B171" s="3">
        <v>152.33</v>
      </c>
      <c r="C171" s="3">
        <v>2.29</v>
      </c>
      <c r="E171" s="3">
        <f t="shared" si="1"/>
        <v>282.24</v>
      </c>
      <c r="F171" s="3">
        <f t="shared" si="2"/>
        <v>2559.144</v>
      </c>
      <c r="G171" s="3">
        <f t="shared" si="3"/>
        <v>147.8776669</v>
      </c>
      <c r="H171" s="3">
        <f t="shared" si="4"/>
        <v>3.203600236</v>
      </c>
      <c r="I171" s="3">
        <f t="shared" si="5"/>
        <v>29.04788238</v>
      </c>
      <c r="J171" s="3">
        <f t="shared" si="6"/>
        <v>53.82048397</v>
      </c>
      <c r="K171" s="3">
        <f t="shared" si="7"/>
        <v>488.004424</v>
      </c>
      <c r="L171" s="3">
        <f t="shared" si="8"/>
        <v>0.1906904903</v>
      </c>
      <c r="M171" s="3">
        <f t="shared" si="9"/>
        <v>3.780108998</v>
      </c>
      <c r="N171" s="3">
        <f t="shared" si="10"/>
        <v>1.944250241</v>
      </c>
    </row>
    <row r="172" ht="14.25" customHeight="1">
      <c r="A172" s="3">
        <v>16.9</v>
      </c>
      <c r="B172" s="3">
        <v>150.9</v>
      </c>
      <c r="C172" s="3">
        <v>3.26</v>
      </c>
      <c r="E172" s="3">
        <f t="shared" si="1"/>
        <v>285.61</v>
      </c>
      <c r="F172" s="3">
        <f t="shared" si="2"/>
        <v>2550.21</v>
      </c>
      <c r="G172" s="3">
        <f t="shared" si="3"/>
        <v>148.7387234</v>
      </c>
      <c r="H172" s="3">
        <f t="shared" si="4"/>
        <v>1.590199104</v>
      </c>
      <c r="I172" s="3">
        <f t="shared" si="5"/>
        <v>14.19887839</v>
      </c>
      <c r="J172" s="3">
        <f t="shared" si="6"/>
        <v>26.87436486</v>
      </c>
      <c r="K172" s="3">
        <f t="shared" si="7"/>
        <v>239.9610448</v>
      </c>
      <c r="L172" s="3">
        <f t="shared" si="8"/>
        <v>0.09409462155</v>
      </c>
      <c r="M172" s="3">
        <f t="shared" si="9"/>
        <v>0.4395269323</v>
      </c>
      <c r="N172" s="3">
        <f t="shared" si="10"/>
        <v>0.662968274</v>
      </c>
    </row>
    <row r="173" ht="14.25" customHeight="1">
      <c r="A173" s="3">
        <v>17.0</v>
      </c>
      <c r="B173" s="3">
        <v>154.18</v>
      </c>
      <c r="C173" s="3">
        <v>3.07</v>
      </c>
      <c r="E173" s="3">
        <f t="shared" si="1"/>
        <v>289</v>
      </c>
      <c r="F173" s="3">
        <f t="shared" si="2"/>
        <v>2621.06</v>
      </c>
      <c r="G173" s="3">
        <f t="shared" si="3"/>
        <v>149.5997799</v>
      </c>
      <c r="H173" s="3">
        <f t="shared" si="4"/>
        <v>1.803732666</v>
      </c>
      <c r="I173" s="3">
        <f t="shared" si="5"/>
        <v>16.35879426</v>
      </c>
      <c r="J173" s="3">
        <f t="shared" si="6"/>
        <v>30.66345532</v>
      </c>
      <c r="K173" s="3">
        <f t="shared" si="7"/>
        <v>278.0995024</v>
      </c>
      <c r="L173" s="3">
        <f t="shared" si="8"/>
        <v>0.1061019215</v>
      </c>
      <c r="M173" s="3">
        <f t="shared" si="9"/>
        <v>2.225850261</v>
      </c>
      <c r="N173" s="3">
        <f t="shared" si="10"/>
        <v>1.49192837</v>
      </c>
    </row>
    <row r="174" ht="14.25" customHeight="1">
      <c r="A174" s="3">
        <v>17.1</v>
      </c>
      <c r="B174" s="3">
        <v>149.44</v>
      </c>
      <c r="C174" s="3">
        <v>2.74</v>
      </c>
      <c r="E174" s="3">
        <f t="shared" si="1"/>
        <v>292.41</v>
      </c>
      <c r="F174" s="3">
        <f t="shared" si="2"/>
        <v>2555.424</v>
      </c>
      <c r="G174" s="3">
        <f t="shared" si="3"/>
        <v>150.4608364</v>
      </c>
      <c r="H174" s="3">
        <f t="shared" si="4"/>
        <v>2.277691939</v>
      </c>
      <c r="I174" s="3">
        <f t="shared" si="5"/>
        <v>19.90516277</v>
      </c>
      <c r="J174" s="3">
        <f t="shared" si="6"/>
        <v>38.94853215</v>
      </c>
      <c r="K174" s="3">
        <f t="shared" si="7"/>
        <v>340.3782833</v>
      </c>
      <c r="L174" s="3">
        <f t="shared" si="8"/>
        <v>0.133198359</v>
      </c>
      <c r="M174" s="3">
        <f t="shared" si="9"/>
        <v>0.1388069316</v>
      </c>
      <c r="N174" s="3">
        <f t="shared" si="10"/>
        <v>-0.3725680228</v>
      </c>
    </row>
    <row r="175" ht="14.25" customHeight="1">
      <c r="A175" s="3">
        <v>17.2</v>
      </c>
      <c r="B175" s="3">
        <v>154.81</v>
      </c>
      <c r="C175" s="3">
        <v>3.96</v>
      </c>
      <c r="E175" s="3">
        <f t="shared" si="1"/>
        <v>295.84</v>
      </c>
      <c r="F175" s="3">
        <f t="shared" si="2"/>
        <v>2662.732</v>
      </c>
      <c r="G175" s="3">
        <f t="shared" si="3"/>
        <v>151.3218929</v>
      </c>
      <c r="H175" s="3">
        <f t="shared" si="4"/>
        <v>1.096826854</v>
      </c>
      <c r="I175" s="3">
        <f t="shared" si="5"/>
        <v>9.87207938</v>
      </c>
      <c r="J175" s="3">
        <f t="shared" si="6"/>
        <v>18.8654219</v>
      </c>
      <c r="K175" s="3">
        <f t="shared" si="7"/>
        <v>169.7997653</v>
      </c>
      <c r="L175" s="3">
        <f t="shared" si="8"/>
        <v>0.06376900316</v>
      </c>
      <c r="M175" s="3">
        <f t="shared" si="9"/>
        <v>0.7758705373</v>
      </c>
      <c r="N175" s="3">
        <f t="shared" si="10"/>
        <v>0.8808351363</v>
      </c>
    </row>
    <row r="176" ht="14.25" customHeight="1">
      <c r="A176" s="3">
        <v>17.3</v>
      </c>
      <c r="B176" s="3">
        <v>154.49</v>
      </c>
      <c r="C176" s="3">
        <v>2.55</v>
      </c>
      <c r="E176" s="3">
        <f t="shared" si="1"/>
        <v>299.29</v>
      </c>
      <c r="F176" s="3">
        <f t="shared" si="2"/>
        <v>2672.677</v>
      </c>
      <c r="G176" s="3">
        <f t="shared" si="3"/>
        <v>152.1829493</v>
      </c>
      <c r="H176" s="3">
        <f t="shared" si="4"/>
        <v>2.660515186</v>
      </c>
      <c r="I176" s="3">
        <f t="shared" si="5"/>
        <v>23.7585544</v>
      </c>
      <c r="J176" s="3">
        <f t="shared" si="6"/>
        <v>46.02691273</v>
      </c>
      <c r="K176" s="3">
        <f t="shared" si="7"/>
        <v>411.0229912</v>
      </c>
      <c r="L176" s="3">
        <f t="shared" si="8"/>
        <v>0.153787005</v>
      </c>
      <c r="M176" s="3">
        <f t="shared" si="9"/>
        <v>0.8185286821</v>
      </c>
      <c r="N176" s="3">
        <f t="shared" si="10"/>
        <v>0.9047257497</v>
      </c>
    </row>
    <row r="177" ht="14.25" customHeight="1">
      <c r="A177" s="3">
        <v>17.4</v>
      </c>
      <c r="B177" s="3">
        <v>149.48</v>
      </c>
      <c r="C177" s="3">
        <v>2.73</v>
      </c>
      <c r="E177" s="3">
        <f t="shared" si="1"/>
        <v>302.76</v>
      </c>
      <c r="F177" s="3">
        <f t="shared" si="2"/>
        <v>2600.952</v>
      </c>
      <c r="G177" s="3">
        <f t="shared" si="3"/>
        <v>153.0440058</v>
      </c>
      <c r="H177" s="3">
        <f t="shared" si="4"/>
        <v>2.334661675</v>
      </c>
      <c r="I177" s="3">
        <f t="shared" si="5"/>
        <v>20.05662225</v>
      </c>
      <c r="J177" s="3">
        <f t="shared" si="6"/>
        <v>40.62311315</v>
      </c>
      <c r="K177" s="3">
        <f t="shared" si="7"/>
        <v>348.9852272</v>
      </c>
      <c r="L177" s="3">
        <f t="shared" si="8"/>
        <v>0.1341759584</v>
      </c>
      <c r="M177" s="3">
        <f t="shared" si="9"/>
        <v>1.704321467</v>
      </c>
      <c r="N177" s="3">
        <f t="shared" si="10"/>
        <v>-1.305496636</v>
      </c>
    </row>
    <row r="178" ht="14.25" customHeight="1">
      <c r="A178" s="3">
        <v>17.5</v>
      </c>
      <c r="B178" s="3">
        <v>160.55</v>
      </c>
      <c r="C178" s="3">
        <v>3.34</v>
      </c>
      <c r="E178" s="3">
        <f t="shared" si="1"/>
        <v>306.25</v>
      </c>
      <c r="F178" s="3">
        <f t="shared" si="2"/>
        <v>2809.625</v>
      </c>
      <c r="G178" s="3">
        <f t="shared" si="3"/>
        <v>153.9050623</v>
      </c>
      <c r="H178" s="3">
        <f t="shared" si="4"/>
        <v>1.56871885</v>
      </c>
      <c r="I178" s="3">
        <f t="shared" si="5"/>
        <v>14.39187493</v>
      </c>
      <c r="J178" s="3">
        <f t="shared" si="6"/>
        <v>27.45257987</v>
      </c>
      <c r="K178" s="3">
        <f t="shared" si="7"/>
        <v>251.8578113</v>
      </c>
      <c r="L178" s="3">
        <f t="shared" si="8"/>
        <v>0.08964107713</v>
      </c>
      <c r="M178" s="3">
        <f t="shared" si="9"/>
        <v>3.95811943</v>
      </c>
      <c r="N178" s="3">
        <f t="shared" si="10"/>
        <v>1.989502307</v>
      </c>
    </row>
    <row r="179" ht="14.25" customHeight="1">
      <c r="A179" s="3">
        <v>17.6</v>
      </c>
      <c r="B179" s="3">
        <v>153.86</v>
      </c>
      <c r="C179" s="3">
        <v>3.06</v>
      </c>
      <c r="E179" s="3">
        <f t="shared" si="1"/>
        <v>309.76</v>
      </c>
      <c r="F179" s="3">
        <f t="shared" si="2"/>
        <v>2707.936</v>
      </c>
      <c r="G179" s="3">
        <f t="shared" si="3"/>
        <v>154.7661188</v>
      </c>
      <c r="H179" s="3">
        <f t="shared" si="4"/>
        <v>1.87961895</v>
      </c>
      <c r="I179" s="3">
        <f t="shared" si="5"/>
        <v>16.4317143</v>
      </c>
      <c r="J179" s="3">
        <f t="shared" si="6"/>
        <v>33.08129352</v>
      </c>
      <c r="K179" s="3">
        <f t="shared" si="7"/>
        <v>289.1981716</v>
      </c>
      <c r="L179" s="3">
        <f t="shared" si="8"/>
        <v>0.1067965312</v>
      </c>
      <c r="M179" s="3">
        <f t="shared" si="9"/>
        <v>0.08768542321</v>
      </c>
      <c r="N179" s="3">
        <f t="shared" si="10"/>
        <v>-0.2961172457</v>
      </c>
    </row>
    <row r="180" ht="14.25" customHeight="1">
      <c r="A180" s="3">
        <v>17.7</v>
      </c>
      <c r="B180" s="3">
        <v>157.08</v>
      </c>
      <c r="C180" s="3">
        <v>2.7</v>
      </c>
      <c r="E180" s="3">
        <f t="shared" si="1"/>
        <v>313.29</v>
      </c>
      <c r="F180" s="3">
        <f t="shared" si="2"/>
        <v>2780.316</v>
      </c>
      <c r="G180" s="3">
        <f t="shared" si="3"/>
        <v>155.6271752</v>
      </c>
      <c r="H180" s="3">
        <f t="shared" si="4"/>
        <v>2.427983539</v>
      </c>
      <c r="I180" s="3">
        <f t="shared" si="5"/>
        <v>21.5473251</v>
      </c>
      <c r="J180" s="3">
        <f t="shared" si="6"/>
        <v>42.97530864</v>
      </c>
      <c r="K180" s="3">
        <f t="shared" si="7"/>
        <v>381.3876543</v>
      </c>
      <c r="L180" s="3">
        <f t="shared" si="8"/>
        <v>0.1371742112</v>
      </c>
      <c r="M180" s="3">
        <f t="shared" si="9"/>
        <v>0.2895335741</v>
      </c>
      <c r="N180" s="3">
        <f t="shared" si="10"/>
        <v>0.5380832408</v>
      </c>
    </row>
    <row r="181" ht="14.25" customHeight="1">
      <c r="A181" s="3">
        <v>17.8</v>
      </c>
      <c r="B181" s="3">
        <v>156.28</v>
      </c>
      <c r="C181" s="3">
        <v>2.66</v>
      </c>
      <c r="E181" s="3">
        <f t="shared" si="1"/>
        <v>316.84</v>
      </c>
      <c r="F181" s="3">
        <f t="shared" si="2"/>
        <v>2781.784</v>
      </c>
      <c r="G181" s="3">
        <f t="shared" si="3"/>
        <v>156.4882317</v>
      </c>
      <c r="H181" s="3">
        <f t="shared" si="4"/>
        <v>2.515687716</v>
      </c>
      <c r="I181" s="3">
        <f t="shared" si="5"/>
        <v>22.08717282</v>
      </c>
      <c r="J181" s="3">
        <f t="shared" si="6"/>
        <v>44.77924134</v>
      </c>
      <c r="K181" s="3">
        <f t="shared" si="7"/>
        <v>393.1516762</v>
      </c>
      <c r="L181" s="3">
        <f t="shared" si="8"/>
        <v>0.1413307705</v>
      </c>
      <c r="M181" s="3">
        <f t="shared" si="9"/>
        <v>0.006128166147</v>
      </c>
      <c r="N181" s="3">
        <f t="shared" si="10"/>
        <v>-0.07828260437</v>
      </c>
    </row>
    <row r="182" ht="14.25" customHeight="1">
      <c r="A182" s="3">
        <v>17.9</v>
      </c>
      <c r="B182" s="3">
        <v>160.15</v>
      </c>
      <c r="C182" s="3">
        <v>1.58</v>
      </c>
      <c r="E182" s="3">
        <f t="shared" si="1"/>
        <v>320.41</v>
      </c>
      <c r="F182" s="3">
        <f t="shared" si="2"/>
        <v>2866.685</v>
      </c>
      <c r="G182" s="3">
        <f t="shared" si="3"/>
        <v>157.3492882</v>
      </c>
      <c r="H182" s="3">
        <f t="shared" si="4"/>
        <v>7.170325268</v>
      </c>
      <c r="I182" s="3">
        <f t="shared" si="5"/>
        <v>64.15237943</v>
      </c>
      <c r="J182" s="3">
        <f t="shared" si="6"/>
        <v>128.3488223</v>
      </c>
      <c r="K182" s="3">
        <f t="shared" si="7"/>
        <v>1148.327592</v>
      </c>
      <c r="L182" s="3">
        <f t="shared" si="8"/>
        <v>0.4005768306</v>
      </c>
      <c r="M182" s="3">
        <f t="shared" si="9"/>
        <v>3.142119274</v>
      </c>
      <c r="N182" s="3">
        <f t="shared" si="10"/>
        <v>1.772602402</v>
      </c>
    </row>
    <row r="183" ht="14.25" customHeight="1">
      <c r="A183" s="3">
        <v>18.0</v>
      </c>
      <c r="B183" s="3">
        <v>158.37</v>
      </c>
      <c r="C183" s="3">
        <v>4.13</v>
      </c>
      <c r="E183" s="3">
        <f t="shared" si="1"/>
        <v>324</v>
      </c>
      <c r="F183" s="3">
        <f t="shared" si="2"/>
        <v>2850.66</v>
      </c>
      <c r="G183" s="3">
        <f t="shared" si="3"/>
        <v>158.2103447</v>
      </c>
      <c r="H183" s="3">
        <f t="shared" si="4"/>
        <v>1.055291407</v>
      </c>
      <c r="I183" s="3">
        <f t="shared" si="5"/>
        <v>9.284805563</v>
      </c>
      <c r="J183" s="3">
        <f t="shared" si="6"/>
        <v>18.99524533</v>
      </c>
      <c r="K183" s="3">
        <f t="shared" si="7"/>
        <v>167.1265001</v>
      </c>
      <c r="L183" s="3">
        <f t="shared" si="8"/>
        <v>0.05862730039</v>
      </c>
      <c r="M183" s="3">
        <f t="shared" si="9"/>
        <v>0.001494399342</v>
      </c>
      <c r="N183" s="3">
        <f t="shared" si="10"/>
        <v>0.03865746166</v>
      </c>
    </row>
    <row r="184" ht="14.25" customHeight="1">
      <c r="A184" s="3">
        <v>18.1</v>
      </c>
      <c r="B184" s="3">
        <v>163.74</v>
      </c>
      <c r="C184" s="3">
        <v>3.8</v>
      </c>
      <c r="E184" s="3">
        <f t="shared" si="1"/>
        <v>327.61</v>
      </c>
      <c r="F184" s="3">
        <f t="shared" si="2"/>
        <v>2963.694</v>
      </c>
      <c r="G184" s="3">
        <f t="shared" si="3"/>
        <v>159.0714012</v>
      </c>
      <c r="H184" s="3">
        <f t="shared" si="4"/>
        <v>1.253462604</v>
      </c>
      <c r="I184" s="3">
        <f t="shared" si="5"/>
        <v>11.33933518</v>
      </c>
      <c r="J184" s="3">
        <f t="shared" si="6"/>
        <v>22.68767313</v>
      </c>
      <c r="K184" s="3">
        <f t="shared" si="7"/>
        <v>205.2419668</v>
      </c>
      <c r="L184" s="3">
        <f t="shared" si="8"/>
        <v>0.06925207756</v>
      </c>
      <c r="M184" s="3">
        <f t="shared" si="9"/>
        <v>1.509405479</v>
      </c>
      <c r="N184" s="3">
        <f t="shared" si="10"/>
        <v>1.228578642</v>
      </c>
    </row>
    <row r="185" ht="14.25" customHeight="1">
      <c r="A185" s="3">
        <v>18.2</v>
      </c>
      <c r="B185" s="3">
        <v>161.35</v>
      </c>
      <c r="C185" s="3">
        <v>2.76</v>
      </c>
      <c r="E185" s="3">
        <f t="shared" si="1"/>
        <v>331.24</v>
      </c>
      <c r="F185" s="3">
        <f t="shared" si="2"/>
        <v>2936.57</v>
      </c>
      <c r="G185" s="3">
        <f t="shared" si="3"/>
        <v>159.9324576</v>
      </c>
      <c r="H185" s="3">
        <f t="shared" si="4"/>
        <v>2.389203949</v>
      </c>
      <c r="I185" s="3">
        <f t="shared" si="5"/>
        <v>21.18121193</v>
      </c>
      <c r="J185" s="3">
        <f t="shared" si="6"/>
        <v>43.48351187</v>
      </c>
      <c r="K185" s="3">
        <f t="shared" si="7"/>
        <v>385.4980571</v>
      </c>
      <c r="L185" s="3">
        <f t="shared" si="8"/>
        <v>0.1312749422</v>
      </c>
      <c r="M185" s="3">
        <f t="shared" si="9"/>
        <v>0.2637873274</v>
      </c>
      <c r="N185" s="3">
        <f t="shared" si="10"/>
        <v>0.5136023047</v>
      </c>
    </row>
    <row r="186" ht="14.25" customHeight="1">
      <c r="A186" s="3">
        <v>18.3</v>
      </c>
      <c r="B186" s="3">
        <v>166.78</v>
      </c>
      <c r="C186" s="3">
        <v>4.32</v>
      </c>
      <c r="E186" s="3">
        <f t="shared" si="1"/>
        <v>334.89</v>
      </c>
      <c r="F186" s="3">
        <f t="shared" si="2"/>
        <v>3052.074</v>
      </c>
      <c r="G186" s="3">
        <f t="shared" si="3"/>
        <v>160.7935141</v>
      </c>
      <c r="H186" s="3">
        <f t="shared" si="4"/>
        <v>0.9805812757</v>
      </c>
      <c r="I186" s="3">
        <f t="shared" si="5"/>
        <v>8.936685528</v>
      </c>
      <c r="J186" s="3">
        <f t="shared" si="6"/>
        <v>17.94463735</v>
      </c>
      <c r="K186" s="3">
        <f t="shared" si="7"/>
        <v>163.5413452</v>
      </c>
      <c r="L186" s="3">
        <f t="shared" si="8"/>
        <v>0.05358367627</v>
      </c>
      <c r="M186" s="3">
        <f t="shared" si="9"/>
        <v>1.920332499</v>
      </c>
      <c r="N186" s="3">
        <f t="shared" si="10"/>
        <v>1.385760621</v>
      </c>
    </row>
    <row r="187" ht="14.25" customHeight="1">
      <c r="A187" s="3">
        <v>18.4</v>
      </c>
      <c r="B187" s="3">
        <v>159.76</v>
      </c>
      <c r="C187" s="3">
        <v>3.67</v>
      </c>
      <c r="E187" s="3">
        <f t="shared" si="1"/>
        <v>338.56</v>
      </c>
      <c r="F187" s="3">
        <f t="shared" si="2"/>
        <v>2939.584</v>
      </c>
      <c r="G187" s="3">
        <f t="shared" si="3"/>
        <v>161.6545706</v>
      </c>
      <c r="H187" s="3">
        <f t="shared" si="4"/>
        <v>1.366110076</v>
      </c>
      <c r="I187" s="3">
        <f t="shared" si="5"/>
        <v>11.86139922</v>
      </c>
      <c r="J187" s="3">
        <f t="shared" si="6"/>
        <v>25.13642539</v>
      </c>
      <c r="K187" s="3">
        <f t="shared" si="7"/>
        <v>218.2497457</v>
      </c>
      <c r="L187" s="3">
        <f t="shared" si="8"/>
        <v>0.07424511282</v>
      </c>
      <c r="M187" s="3">
        <f t="shared" si="9"/>
        <v>0.26649524</v>
      </c>
      <c r="N187" s="3">
        <f t="shared" si="10"/>
        <v>-0.5162317697</v>
      </c>
    </row>
    <row r="188" ht="14.25" customHeight="1">
      <c r="A188" s="3">
        <v>18.5</v>
      </c>
      <c r="B188" s="3">
        <v>158.06</v>
      </c>
      <c r="C188" s="3">
        <v>3.07</v>
      </c>
      <c r="E188" s="3">
        <f t="shared" si="1"/>
        <v>342.25</v>
      </c>
      <c r="F188" s="3">
        <f t="shared" si="2"/>
        <v>2924.11</v>
      </c>
      <c r="G188" s="3">
        <f t="shared" si="3"/>
        <v>162.5156271</v>
      </c>
      <c r="H188" s="3">
        <f t="shared" si="4"/>
        <v>1.962885548</v>
      </c>
      <c r="I188" s="3">
        <f t="shared" si="5"/>
        <v>16.77046971</v>
      </c>
      <c r="J188" s="3">
        <f t="shared" si="6"/>
        <v>36.31338264</v>
      </c>
      <c r="K188" s="3">
        <f t="shared" si="7"/>
        <v>310.2536897</v>
      </c>
      <c r="L188" s="3">
        <f t="shared" si="8"/>
        <v>0.1061019215</v>
      </c>
      <c r="M188" s="3">
        <f t="shared" si="9"/>
        <v>2.106400345</v>
      </c>
      <c r="N188" s="3">
        <f t="shared" si="10"/>
        <v>-1.451344323</v>
      </c>
    </row>
    <row r="189" ht="14.25" customHeight="1">
      <c r="A189" s="3">
        <v>18.6</v>
      </c>
      <c r="B189" s="3">
        <v>161.98</v>
      </c>
      <c r="C189" s="3">
        <v>1.75</v>
      </c>
      <c r="E189" s="3">
        <f t="shared" si="1"/>
        <v>345.96</v>
      </c>
      <c r="F189" s="3">
        <f t="shared" si="2"/>
        <v>3012.828</v>
      </c>
      <c r="G189" s="3">
        <f t="shared" si="3"/>
        <v>163.3766836</v>
      </c>
      <c r="H189" s="3">
        <f t="shared" si="4"/>
        <v>6.073469388</v>
      </c>
      <c r="I189" s="3">
        <f t="shared" si="5"/>
        <v>52.89142857</v>
      </c>
      <c r="J189" s="3">
        <f t="shared" si="6"/>
        <v>112.9665306</v>
      </c>
      <c r="K189" s="3">
        <f t="shared" si="7"/>
        <v>983.7805714</v>
      </c>
      <c r="L189" s="3">
        <f t="shared" si="8"/>
        <v>0.3265306122</v>
      </c>
      <c r="M189" s="3">
        <f t="shared" si="9"/>
        <v>0.6369714091</v>
      </c>
      <c r="N189" s="3">
        <f t="shared" si="10"/>
        <v>-0.798104886</v>
      </c>
    </row>
    <row r="190" ht="14.25" customHeight="1">
      <c r="A190" s="3">
        <v>18.7</v>
      </c>
      <c r="B190" s="3">
        <v>165.72</v>
      </c>
      <c r="C190" s="3">
        <v>2.47</v>
      </c>
      <c r="E190" s="3">
        <f t="shared" si="1"/>
        <v>349.69</v>
      </c>
      <c r="F190" s="3">
        <f t="shared" si="2"/>
        <v>3098.964</v>
      </c>
      <c r="G190" s="3">
        <f t="shared" si="3"/>
        <v>164.23774</v>
      </c>
      <c r="H190" s="3">
        <f t="shared" si="4"/>
        <v>3.065121539</v>
      </c>
      <c r="I190" s="3">
        <f t="shared" si="5"/>
        <v>27.16320543</v>
      </c>
      <c r="J190" s="3">
        <f t="shared" si="6"/>
        <v>57.31777279</v>
      </c>
      <c r="K190" s="3">
        <f t="shared" si="7"/>
        <v>507.9519415</v>
      </c>
      <c r="L190" s="3">
        <f t="shared" si="8"/>
        <v>0.1639102428</v>
      </c>
      <c r="M190" s="3">
        <f t="shared" si="9"/>
        <v>0.3601263131</v>
      </c>
      <c r="N190" s="3">
        <f t="shared" si="10"/>
        <v>0.6001052517</v>
      </c>
    </row>
    <row r="191" ht="14.25" customHeight="1">
      <c r="A191" s="3">
        <v>18.8</v>
      </c>
      <c r="B191" s="3">
        <v>165.63</v>
      </c>
      <c r="C191" s="3">
        <v>4.04</v>
      </c>
      <c r="E191" s="3">
        <f t="shared" si="1"/>
        <v>353.44</v>
      </c>
      <c r="F191" s="3">
        <f t="shared" si="2"/>
        <v>3113.844</v>
      </c>
      <c r="G191" s="3">
        <f t="shared" si="3"/>
        <v>165.0987965</v>
      </c>
      <c r="H191" s="3">
        <f t="shared" si="4"/>
        <v>1.151847858</v>
      </c>
      <c r="I191" s="3">
        <f t="shared" si="5"/>
        <v>10.14790217</v>
      </c>
      <c r="J191" s="3">
        <f t="shared" si="6"/>
        <v>21.65473973</v>
      </c>
      <c r="K191" s="3">
        <f t="shared" si="7"/>
        <v>190.7805607</v>
      </c>
      <c r="L191" s="3">
        <f t="shared" si="8"/>
        <v>0.06126850309</v>
      </c>
      <c r="M191" s="3">
        <f t="shared" si="9"/>
        <v>0.01728857169</v>
      </c>
      <c r="N191" s="3">
        <f t="shared" si="10"/>
        <v>0.1314860133</v>
      </c>
    </row>
    <row r="192" ht="14.25" customHeight="1">
      <c r="A192" s="3">
        <v>18.9</v>
      </c>
      <c r="B192" s="3">
        <v>165.16</v>
      </c>
      <c r="C192" s="3">
        <v>3.51</v>
      </c>
      <c r="E192" s="3">
        <f t="shared" si="1"/>
        <v>357.21</v>
      </c>
      <c r="F192" s="3">
        <f t="shared" si="2"/>
        <v>3121.524</v>
      </c>
      <c r="G192" s="3">
        <f t="shared" si="3"/>
        <v>165.959853</v>
      </c>
      <c r="H192" s="3">
        <f t="shared" si="4"/>
        <v>1.534078457</v>
      </c>
      <c r="I192" s="3">
        <f t="shared" si="5"/>
        <v>13.40573534</v>
      </c>
      <c r="J192" s="3">
        <f t="shared" si="6"/>
        <v>28.99408284</v>
      </c>
      <c r="K192" s="3">
        <f t="shared" si="7"/>
        <v>253.368398</v>
      </c>
      <c r="L192" s="3">
        <f t="shared" si="8"/>
        <v>0.08116817234</v>
      </c>
      <c r="M192" s="3">
        <f t="shared" si="9"/>
        <v>0.05192853923</v>
      </c>
      <c r="N192" s="3">
        <f t="shared" si="10"/>
        <v>-0.2278783431</v>
      </c>
    </row>
    <row r="193" ht="14.25" customHeight="1">
      <c r="A193" s="3">
        <v>19.0</v>
      </c>
      <c r="B193" s="3">
        <v>164.96</v>
      </c>
      <c r="C193" s="3">
        <v>2.86</v>
      </c>
      <c r="E193" s="3">
        <f t="shared" si="1"/>
        <v>361</v>
      </c>
      <c r="F193" s="3">
        <f t="shared" si="2"/>
        <v>3134.24</v>
      </c>
      <c r="G193" s="3">
        <f t="shared" si="3"/>
        <v>166.8209095</v>
      </c>
      <c r="H193" s="3">
        <f t="shared" si="4"/>
        <v>2.322851973</v>
      </c>
      <c r="I193" s="3">
        <f t="shared" si="5"/>
        <v>20.16724534</v>
      </c>
      <c r="J193" s="3">
        <f t="shared" si="6"/>
        <v>44.13418749</v>
      </c>
      <c r="K193" s="3">
        <f t="shared" si="7"/>
        <v>383.1776615</v>
      </c>
      <c r="L193" s="3">
        <f t="shared" si="8"/>
        <v>0.122255367</v>
      </c>
      <c r="M193" s="3">
        <f t="shared" si="9"/>
        <v>0.423368383</v>
      </c>
      <c r="N193" s="3">
        <f t="shared" si="10"/>
        <v>-0.650667644</v>
      </c>
    </row>
    <row r="194" ht="14.25" customHeight="1">
      <c r="A194" s="3">
        <v>19.1</v>
      </c>
      <c r="B194" s="3">
        <v>166.56</v>
      </c>
      <c r="C194" s="3">
        <v>3.71</v>
      </c>
      <c r="E194" s="3">
        <f t="shared" si="1"/>
        <v>364.81</v>
      </c>
      <c r="F194" s="3">
        <f t="shared" si="2"/>
        <v>3181.296</v>
      </c>
      <c r="G194" s="3">
        <f t="shared" si="3"/>
        <v>167.6819659</v>
      </c>
      <c r="H194" s="3">
        <f t="shared" si="4"/>
        <v>1.387667919</v>
      </c>
      <c r="I194" s="3">
        <f t="shared" si="5"/>
        <v>12.10104547</v>
      </c>
      <c r="J194" s="3">
        <f t="shared" si="6"/>
        <v>26.50445725</v>
      </c>
      <c r="K194" s="3">
        <f t="shared" si="7"/>
        <v>231.1299685</v>
      </c>
      <c r="L194" s="3">
        <f t="shared" si="8"/>
        <v>0.07265277061</v>
      </c>
      <c r="M194" s="3">
        <f t="shared" si="9"/>
        <v>0.09145585764</v>
      </c>
      <c r="N194" s="3">
        <f t="shared" si="10"/>
        <v>-0.3024166954</v>
      </c>
    </row>
    <row r="195" ht="14.25" customHeight="1">
      <c r="A195" s="3">
        <v>19.2</v>
      </c>
      <c r="B195" s="3">
        <v>169.35</v>
      </c>
      <c r="C195" s="3">
        <v>4.94</v>
      </c>
      <c r="E195" s="3">
        <f t="shared" si="1"/>
        <v>368.64</v>
      </c>
      <c r="F195" s="3">
        <f t="shared" si="2"/>
        <v>3251.52</v>
      </c>
      <c r="G195" s="3">
        <f t="shared" si="3"/>
        <v>168.5430224</v>
      </c>
      <c r="H195" s="3">
        <f t="shared" si="4"/>
        <v>0.7867691652</v>
      </c>
      <c r="I195" s="3">
        <f t="shared" si="5"/>
        <v>6.939549902</v>
      </c>
      <c r="J195" s="3">
        <f t="shared" si="6"/>
        <v>15.10596797</v>
      </c>
      <c r="K195" s="3">
        <f t="shared" si="7"/>
        <v>133.2393581</v>
      </c>
      <c r="L195" s="3">
        <f t="shared" si="8"/>
        <v>0.04097756069</v>
      </c>
      <c r="M195" s="3">
        <f t="shared" si="9"/>
        <v>0.02668511278</v>
      </c>
      <c r="N195" s="3">
        <f t="shared" si="10"/>
        <v>0.1633557859</v>
      </c>
    </row>
    <row r="196" ht="14.25" customHeight="1">
      <c r="A196" s="3">
        <v>19.3</v>
      </c>
      <c r="B196" s="3">
        <v>170.27</v>
      </c>
      <c r="C196" s="3">
        <v>4.06</v>
      </c>
      <c r="E196" s="3">
        <f t="shared" si="1"/>
        <v>372.49</v>
      </c>
      <c r="F196" s="3">
        <f t="shared" si="2"/>
        <v>3286.211</v>
      </c>
      <c r="G196" s="3">
        <f t="shared" si="3"/>
        <v>169.4040789</v>
      </c>
      <c r="H196" s="3">
        <f t="shared" si="4"/>
        <v>1.170860734</v>
      </c>
      <c r="I196" s="3">
        <f t="shared" si="5"/>
        <v>10.329661</v>
      </c>
      <c r="J196" s="3">
        <f t="shared" si="6"/>
        <v>22.59761217</v>
      </c>
      <c r="K196" s="3">
        <f t="shared" si="7"/>
        <v>199.3624572</v>
      </c>
      <c r="L196" s="3">
        <f t="shared" si="8"/>
        <v>0.06066635929</v>
      </c>
      <c r="M196" s="3">
        <f t="shared" si="9"/>
        <v>0.04548881064</v>
      </c>
      <c r="N196" s="3">
        <f t="shared" si="10"/>
        <v>0.2132810602</v>
      </c>
    </row>
    <row r="197" ht="14.25" customHeight="1">
      <c r="A197" s="3">
        <v>19.4</v>
      </c>
      <c r="B197" s="3">
        <v>173.42</v>
      </c>
      <c r="C197" s="3">
        <v>3.22</v>
      </c>
      <c r="E197" s="3">
        <f t="shared" si="1"/>
        <v>376.36</v>
      </c>
      <c r="F197" s="3">
        <f t="shared" si="2"/>
        <v>3364.348</v>
      </c>
      <c r="G197" s="3">
        <f t="shared" si="3"/>
        <v>170.2651354</v>
      </c>
      <c r="H197" s="3">
        <f t="shared" si="4"/>
        <v>1.871069789</v>
      </c>
      <c r="I197" s="3">
        <f t="shared" si="5"/>
        <v>16.72582076</v>
      </c>
      <c r="J197" s="3">
        <f t="shared" si="6"/>
        <v>36.29875391</v>
      </c>
      <c r="K197" s="3">
        <f t="shared" si="7"/>
        <v>324.4809228</v>
      </c>
      <c r="L197" s="3">
        <f t="shared" si="8"/>
        <v>0.09644689634</v>
      </c>
      <c r="M197" s="3">
        <f t="shared" si="9"/>
        <v>0.9599524336</v>
      </c>
      <c r="N197" s="3">
        <f t="shared" si="10"/>
        <v>0.9797716232</v>
      </c>
    </row>
    <row r="198" ht="14.25" customHeight="1">
      <c r="A198" s="3">
        <v>19.5</v>
      </c>
      <c r="B198" s="3">
        <v>171.63</v>
      </c>
      <c r="C198" s="3">
        <v>3.81</v>
      </c>
      <c r="E198" s="3">
        <f t="shared" si="1"/>
        <v>380.25</v>
      </c>
      <c r="F198" s="3">
        <f t="shared" si="2"/>
        <v>3346.785</v>
      </c>
      <c r="G198" s="3">
        <f t="shared" si="3"/>
        <v>171.1261919</v>
      </c>
      <c r="H198" s="3">
        <f t="shared" si="4"/>
        <v>1.34333602</v>
      </c>
      <c r="I198" s="3">
        <f t="shared" si="5"/>
        <v>11.82342365</v>
      </c>
      <c r="J198" s="3">
        <f t="shared" si="6"/>
        <v>26.19505239</v>
      </c>
      <c r="K198" s="3">
        <f t="shared" si="7"/>
        <v>230.5567611</v>
      </c>
      <c r="L198" s="3">
        <f t="shared" si="8"/>
        <v>0.06888902667</v>
      </c>
      <c r="M198" s="3">
        <f t="shared" si="9"/>
        <v>0.01748559535</v>
      </c>
      <c r="N198" s="3">
        <f t="shared" si="10"/>
        <v>0.1322331099</v>
      </c>
    </row>
    <row r="199" ht="14.25" customHeight="1">
      <c r="A199" s="3">
        <v>19.6</v>
      </c>
      <c r="B199" s="3">
        <v>172.57</v>
      </c>
      <c r="C199" s="3">
        <v>2.48</v>
      </c>
      <c r="E199" s="3">
        <f t="shared" si="1"/>
        <v>384.16</v>
      </c>
      <c r="F199" s="3">
        <f t="shared" si="2"/>
        <v>3382.372</v>
      </c>
      <c r="G199" s="3">
        <f t="shared" si="3"/>
        <v>171.9872483</v>
      </c>
      <c r="H199" s="3">
        <f t="shared" si="4"/>
        <v>3.186784599</v>
      </c>
      <c r="I199" s="3">
        <f t="shared" si="5"/>
        <v>28.05833767</v>
      </c>
      <c r="J199" s="3">
        <f t="shared" si="6"/>
        <v>62.46097815</v>
      </c>
      <c r="K199" s="3">
        <f t="shared" si="7"/>
        <v>549.9434183</v>
      </c>
      <c r="L199" s="3">
        <f t="shared" si="8"/>
        <v>0.162591051</v>
      </c>
      <c r="M199" s="3">
        <f t="shared" si="9"/>
        <v>0.05521584123</v>
      </c>
      <c r="N199" s="3">
        <f t="shared" si="10"/>
        <v>0.2349805124</v>
      </c>
    </row>
    <row r="200" ht="14.25" customHeight="1">
      <c r="A200" s="3">
        <v>19.7</v>
      </c>
      <c r="B200" s="3">
        <v>183.71</v>
      </c>
      <c r="C200" s="3">
        <v>4.6</v>
      </c>
      <c r="E200" s="3">
        <f t="shared" si="1"/>
        <v>388.09</v>
      </c>
      <c r="F200" s="3">
        <f t="shared" si="2"/>
        <v>3619.087</v>
      </c>
      <c r="G200" s="3">
        <f t="shared" si="3"/>
        <v>172.8483048</v>
      </c>
      <c r="H200" s="3">
        <f t="shared" si="4"/>
        <v>0.9310018904</v>
      </c>
      <c r="I200" s="3">
        <f t="shared" si="5"/>
        <v>8.68194707</v>
      </c>
      <c r="J200" s="3">
        <f t="shared" si="6"/>
        <v>18.34073724</v>
      </c>
      <c r="K200" s="3">
        <f t="shared" si="7"/>
        <v>171.0343573</v>
      </c>
      <c r="L200" s="3">
        <f t="shared" si="8"/>
        <v>0.04725897921</v>
      </c>
      <c r="M200" s="3">
        <f t="shared" si="9"/>
        <v>5.575445296</v>
      </c>
      <c r="N200" s="3">
        <f t="shared" si="10"/>
        <v>2.361238085</v>
      </c>
    </row>
    <row r="201" ht="14.25" customHeight="1">
      <c r="A201" s="3">
        <v>19.8</v>
      </c>
      <c r="B201" s="3">
        <v>174.07</v>
      </c>
      <c r="C201" s="3">
        <v>1.82</v>
      </c>
      <c r="E201" s="3">
        <f t="shared" si="1"/>
        <v>392.04</v>
      </c>
      <c r="F201" s="3">
        <f t="shared" si="2"/>
        <v>3446.586</v>
      </c>
      <c r="G201" s="3">
        <f t="shared" si="3"/>
        <v>173.7093613</v>
      </c>
      <c r="H201" s="3">
        <f t="shared" si="4"/>
        <v>5.977538945</v>
      </c>
      <c r="I201" s="3">
        <f t="shared" si="5"/>
        <v>52.55102041</v>
      </c>
      <c r="J201" s="3">
        <f t="shared" si="6"/>
        <v>118.3552711</v>
      </c>
      <c r="K201" s="3">
        <f t="shared" si="7"/>
        <v>1040.510204</v>
      </c>
      <c r="L201" s="3">
        <f t="shared" si="8"/>
        <v>0.3018959063</v>
      </c>
      <c r="M201" s="3">
        <f t="shared" si="9"/>
        <v>0.03926466696</v>
      </c>
      <c r="N201" s="3">
        <f t="shared" si="10"/>
        <v>0.1981531402</v>
      </c>
    </row>
    <row r="202" ht="14.25" customHeight="1">
      <c r="A202" s="3">
        <v>19.9</v>
      </c>
      <c r="B202" s="3">
        <v>175.4</v>
      </c>
      <c r="C202" s="3">
        <v>2.43</v>
      </c>
      <c r="E202" s="3">
        <f t="shared" si="1"/>
        <v>396.01</v>
      </c>
      <c r="F202" s="3">
        <f t="shared" si="2"/>
        <v>3490.46</v>
      </c>
      <c r="G202" s="3">
        <f t="shared" si="3"/>
        <v>174.5704178</v>
      </c>
      <c r="H202" s="3">
        <f t="shared" si="4"/>
        <v>3.370082474</v>
      </c>
      <c r="I202" s="3">
        <f t="shared" si="5"/>
        <v>29.70414402</v>
      </c>
      <c r="J202" s="3">
        <f t="shared" si="6"/>
        <v>67.06464123</v>
      </c>
      <c r="K202" s="3">
        <f t="shared" si="7"/>
        <v>591.1124659</v>
      </c>
      <c r="L202" s="3">
        <f t="shared" si="8"/>
        <v>0.1693508781</v>
      </c>
      <c r="M202" s="3">
        <f t="shared" si="9"/>
        <v>0.116548407</v>
      </c>
      <c r="N202" s="3">
        <f t="shared" si="10"/>
        <v>0.3413918672</v>
      </c>
    </row>
    <row r="203" ht="14.25" customHeight="1">
      <c r="A203" s="3">
        <v>20.0</v>
      </c>
      <c r="B203" s="3">
        <v>164.41</v>
      </c>
      <c r="C203" s="3">
        <v>5.12</v>
      </c>
      <c r="E203" s="3">
        <f t="shared" si="1"/>
        <v>400</v>
      </c>
      <c r="F203" s="3">
        <f t="shared" si="2"/>
        <v>3288.2</v>
      </c>
      <c r="G203" s="3">
        <f t="shared" si="3"/>
        <v>175.4314742</v>
      </c>
      <c r="H203" s="3">
        <f t="shared" si="4"/>
        <v>0.7629394531</v>
      </c>
      <c r="I203" s="3">
        <f t="shared" si="5"/>
        <v>6.271743774</v>
      </c>
      <c r="J203" s="3">
        <f t="shared" si="6"/>
        <v>15.25878906</v>
      </c>
      <c r="K203" s="3">
        <f t="shared" si="7"/>
        <v>125.4348755</v>
      </c>
      <c r="L203" s="3">
        <f t="shared" si="8"/>
        <v>0.03814697266</v>
      </c>
      <c r="M203" s="3">
        <f t="shared" si="9"/>
        <v>4.633823183</v>
      </c>
      <c r="N203" s="3">
        <f t="shared" si="10"/>
        <v>-2.152631688</v>
      </c>
    </row>
    <row r="204" ht="14.25" customHeight="1">
      <c r="A204" s="3">
        <v>20.1</v>
      </c>
      <c r="B204" s="3">
        <v>174.86</v>
      </c>
      <c r="C204" s="3">
        <v>2.46</v>
      </c>
      <c r="E204" s="3">
        <f t="shared" si="1"/>
        <v>404.01</v>
      </c>
      <c r="F204" s="3">
        <f t="shared" si="2"/>
        <v>3514.686</v>
      </c>
      <c r="G204" s="3">
        <f t="shared" si="3"/>
        <v>176.2925307</v>
      </c>
      <c r="H204" s="3">
        <f t="shared" si="4"/>
        <v>3.321435653</v>
      </c>
      <c r="I204" s="3">
        <f t="shared" si="5"/>
        <v>28.89483773</v>
      </c>
      <c r="J204" s="3">
        <f t="shared" si="6"/>
        <v>66.76085663</v>
      </c>
      <c r="K204" s="3">
        <f t="shared" si="7"/>
        <v>580.7862384</v>
      </c>
      <c r="L204" s="3">
        <f t="shared" si="8"/>
        <v>0.1652455549</v>
      </c>
      <c r="M204" s="3">
        <f t="shared" si="9"/>
        <v>0.3391077169</v>
      </c>
      <c r="N204" s="3">
        <f t="shared" si="10"/>
        <v>-0.5823295603</v>
      </c>
    </row>
    <row r="205" ht="14.25" customHeight="1">
      <c r="A205" s="3">
        <v>20.2</v>
      </c>
      <c r="B205" s="3">
        <v>178.72</v>
      </c>
      <c r="C205" s="3">
        <v>2.21</v>
      </c>
      <c r="E205" s="3">
        <f t="shared" si="1"/>
        <v>408.04</v>
      </c>
      <c r="F205" s="3">
        <f t="shared" si="2"/>
        <v>3610.144</v>
      </c>
      <c r="G205" s="3">
        <f t="shared" si="3"/>
        <v>177.1535872</v>
      </c>
      <c r="H205" s="3">
        <f t="shared" si="4"/>
        <v>4.135869454</v>
      </c>
      <c r="I205" s="3">
        <f t="shared" si="5"/>
        <v>36.59220737</v>
      </c>
      <c r="J205" s="3">
        <f t="shared" si="6"/>
        <v>83.54456297</v>
      </c>
      <c r="K205" s="3">
        <f t="shared" si="7"/>
        <v>739.1625888</v>
      </c>
      <c r="L205" s="3">
        <f t="shared" si="8"/>
        <v>0.2047460126</v>
      </c>
      <c r="M205" s="3">
        <f t="shared" si="9"/>
        <v>0.5023748636</v>
      </c>
      <c r="N205" s="3">
        <f t="shared" si="10"/>
        <v>0.7087840741</v>
      </c>
    </row>
    <row r="206" ht="14.25" customHeight="1">
      <c r="A206" s="3">
        <v>20.3</v>
      </c>
      <c r="B206" s="3">
        <v>175.72</v>
      </c>
      <c r="C206" s="3">
        <v>1.81</v>
      </c>
      <c r="E206" s="3">
        <f t="shared" si="1"/>
        <v>412.09</v>
      </c>
      <c r="F206" s="3">
        <f t="shared" si="2"/>
        <v>3567.116</v>
      </c>
      <c r="G206" s="3">
        <f t="shared" si="3"/>
        <v>178.0146437</v>
      </c>
      <c r="H206" s="3">
        <f t="shared" si="4"/>
        <v>6.196392052</v>
      </c>
      <c r="I206" s="3">
        <f t="shared" si="5"/>
        <v>53.63694637</v>
      </c>
      <c r="J206" s="3">
        <f t="shared" si="6"/>
        <v>125.7867586</v>
      </c>
      <c r="K206" s="3">
        <f t="shared" si="7"/>
        <v>1088.830011</v>
      </c>
      <c r="L206" s="3">
        <f t="shared" si="8"/>
        <v>0.3052409878</v>
      </c>
      <c r="M206" s="3">
        <f t="shared" si="9"/>
        <v>1.60721272</v>
      </c>
      <c r="N206" s="3">
        <f t="shared" si="10"/>
        <v>-1.267758936</v>
      </c>
    </row>
    <row r="207" ht="14.25" customHeight="1">
      <c r="A207" s="3">
        <v>20.4</v>
      </c>
      <c r="B207" s="3">
        <v>179.1</v>
      </c>
      <c r="C207" s="3">
        <v>2.32</v>
      </c>
      <c r="E207" s="3">
        <f t="shared" si="1"/>
        <v>416.16</v>
      </c>
      <c r="F207" s="3">
        <f t="shared" si="2"/>
        <v>3653.64</v>
      </c>
      <c r="G207" s="3">
        <f t="shared" si="3"/>
        <v>178.8757002</v>
      </c>
      <c r="H207" s="3">
        <f t="shared" si="4"/>
        <v>3.790130797</v>
      </c>
      <c r="I207" s="3">
        <f t="shared" si="5"/>
        <v>33.27511891</v>
      </c>
      <c r="J207" s="3">
        <f t="shared" si="6"/>
        <v>77.31866825</v>
      </c>
      <c r="K207" s="3">
        <f t="shared" si="7"/>
        <v>678.8124257</v>
      </c>
      <c r="L207" s="3">
        <f t="shared" si="8"/>
        <v>0.1857907253</v>
      </c>
      <c r="M207" s="3">
        <f t="shared" si="9"/>
        <v>0.009347209756</v>
      </c>
      <c r="N207" s="3">
        <f t="shared" si="10"/>
        <v>0.09668096895</v>
      </c>
    </row>
    <row r="208" ht="14.25" customHeight="1">
      <c r="A208" s="3">
        <v>20.5</v>
      </c>
      <c r="B208" s="3">
        <v>183.86</v>
      </c>
      <c r="C208" s="3">
        <v>5.24</v>
      </c>
      <c r="E208" s="3">
        <f t="shared" si="1"/>
        <v>420.25</v>
      </c>
      <c r="F208" s="3">
        <f t="shared" si="2"/>
        <v>3769.13</v>
      </c>
      <c r="G208" s="3">
        <f t="shared" si="3"/>
        <v>179.7367566</v>
      </c>
      <c r="H208" s="3">
        <f t="shared" si="4"/>
        <v>0.7466056757</v>
      </c>
      <c r="I208" s="3">
        <f t="shared" si="5"/>
        <v>6.696142416</v>
      </c>
      <c r="J208" s="3">
        <f t="shared" si="6"/>
        <v>15.30541635</v>
      </c>
      <c r="K208" s="3">
        <f t="shared" si="7"/>
        <v>137.2709195</v>
      </c>
      <c r="L208" s="3">
        <f t="shared" si="8"/>
        <v>0.03641978906</v>
      </c>
      <c r="M208" s="3">
        <f t="shared" si="9"/>
        <v>0.6191777828</v>
      </c>
      <c r="N208" s="3">
        <f t="shared" si="10"/>
        <v>0.7868785057</v>
      </c>
    </row>
    <row r="209" ht="14.25" customHeight="1">
      <c r="A209" s="3">
        <v>20.6</v>
      </c>
      <c r="B209" s="3">
        <v>186.73</v>
      </c>
      <c r="C209" s="3">
        <v>4.99</v>
      </c>
      <c r="E209" s="3">
        <f t="shared" si="1"/>
        <v>424.36</v>
      </c>
      <c r="F209" s="3">
        <f t="shared" si="2"/>
        <v>3846.638</v>
      </c>
      <c r="G209" s="3">
        <f t="shared" si="3"/>
        <v>180.5978131</v>
      </c>
      <c r="H209" s="3">
        <f t="shared" si="4"/>
        <v>0.8273059144</v>
      </c>
      <c r="I209" s="3">
        <f t="shared" si="5"/>
        <v>7.49916667</v>
      </c>
      <c r="J209" s="3">
        <f t="shared" si="6"/>
        <v>17.04250184</v>
      </c>
      <c r="K209" s="3">
        <f t="shared" si="7"/>
        <v>154.4828334</v>
      </c>
      <c r="L209" s="3">
        <f t="shared" si="8"/>
        <v>0.04016048128</v>
      </c>
      <c r="M209" s="3">
        <f t="shared" si="9"/>
        <v>1.510183336</v>
      </c>
      <c r="N209" s="3">
        <f t="shared" si="10"/>
        <v>1.228895169</v>
      </c>
    </row>
    <row r="210" ht="14.25" customHeight="1">
      <c r="A210" s="3">
        <v>20.7</v>
      </c>
      <c r="B210" s="3">
        <v>182.47</v>
      </c>
      <c r="C210" s="3">
        <v>2.52</v>
      </c>
      <c r="E210" s="3">
        <f t="shared" si="1"/>
        <v>428.49</v>
      </c>
      <c r="F210" s="3">
        <f t="shared" si="2"/>
        <v>3777.129</v>
      </c>
      <c r="G210" s="3">
        <f t="shared" si="3"/>
        <v>181.4588696</v>
      </c>
      <c r="H210" s="3">
        <f t="shared" si="4"/>
        <v>3.259637188</v>
      </c>
      <c r="I210" s="3">
        <f t="shared" si="5"/>
        <v>28.73362308</v>
      </c>
      <c r="J210" s="3">
        <f t="shared" si="6"/>
        <v>67.4744898</v>
      </c>
      <c r="K210" s="3">
        <f t="shared" si="7"/>
        <v>594.7859977</v>
      </c>
      <c r="L210" s="3">
        <f t="shared" si="8"/>
        <v>0.1574703956</v>
      </c>
      <c r="M210" s="3">
        <f t="shared" si="9"/>
        <v>0.1609953255</v>
      </c>
      <c r="N210" s="3">
        <f t="shared" si="10"/>
        <v>0.4012422279</v>
      </c>
    </row>
    <row r="211" ht="14.25" customHeight="1">
      <c r="A211" s="3">
        <v>20.8</v>
      </c>
      <c r="B211" s="3">
        <v>185.21</v>
      </c>
      <c r="C211" s="3">
        <v>2.74</v>
      </c>
      <c r="E211" s="3">
        <f t="shared" si="1"/>
        <v>432.64</v>
      </c>
      <c r="F211" s="3">
        <f t="shared" si="2"/>
        <v>3852.368</v>
      </c>
      <c r="G211" s="3">
        <f t="shared" si="3"/>
        <v>182.3199261</v>
      </c>
      <c r="H211" s="3">
        <f t="shared" si="4"/>
        <v>2.770525867</v>
      </c>
      <c r="I211" s="3">
        <f t="shared" si="5"/>
        <v>24.66966807</v>
      </c>
      <c r="J211" s="3">
        <f t="shared" si="6"/>
        <v>57.62693804</v>
      </c>
      <c r="K211" s="3">
        <f t="shared" si="7"/>
        <v>513.1290958</v>
      </c>
      <c r="L211" s="3">
        <f t="shared" si="8"/>
        <v>0.133198359</v>
      </c>
      <c r="M211" s="3">
        <f t="shared" si="9"/>
        <v>1.112542938</v>
      </c>
      <c r="N211" s="3">
        <f t="shared" si="10"/>
        <v>1.05477151</v>
      </c>
    </row>
    <row r="212" ht="14.25" customHeight="1">
      <c r="A212" s="3">
        <v>20.9</v>
      </c>
      <c r="B212" s="3">
        <v>183.07</v>
      </c>
      <c r="C212" s="3">
        <v>2.21</v>
      </c>
      <c r="E212" s="3">
        <f t="shared" si="1"/>
        <v>436.81</v>
      </c>
      <c r="F212" s="3">
        <f t="shared" si="2"/>
        <v>3826.163</v>
      </c>
      <c r="G212" s="3">
        <f t="shared" si="3"/>
        <v>183.1809825</v>
      </c>
      <c r="H212" s="3">
        <f t="shared" si="4"/>
        <v>4.279191663</v>
      </c>
      <c r="I212" s="3">
        <f t="shared" si="5"/>
        <v>37.48285252</v>
      </c>
      <c r="J212" s="3">
        <f t="shared" si="6"/>
        <v>89.43510575</v>
      </c>
      <c r="K212" s="3">
        <f t="shared" si="7"/>
        <v>783.3916177</v>
      </c>
      <c r="L212" s="3">
        <f t="shared" si="8"/>
        <v>0.2047460126</v>
      </c>
      <c r="M212" s="3">
        <f t="shared" si="9"/>
        <v>0.002521882125</v>
      </c>
      <c r="N212" s="3">
        <f t="shared" si="10"/>
        <v>-0.05021834451</v>
      </c>
    </row>
    <row r="213" ht="14.25" customHeight="1">
      <c r="A213" s="3">
        <v>21.0</v>
      </c>
      <c r="B213" s="3">
        <v>186.25</v>
      </c>
      <c r="C213" s="3">
        <v>5.38</v>
      </c>
      <c r="E213" s="3">
        <f t="shared" si="1"/>
        <v>441</v>
      </c>
      <c r="F213" s="3">
        <f t="shared" si="2"/>
        <v>3911.25</v>
      </c>
      <c r="G213" s="3">
        <f t="shared" si="3"/>
        <v>184.042039</v>
      </c>
      <c r="H213" s="3">
        <f t="shared" si="4"/>
        <v>0.7255289452</v>
      </c>
      <c r="I213" s="3">
        <f t="shared" si="5"/>
        <v>6.434750764</v>
      </c>
      <c r="J213" s="3">
        <f t="shared" si="6"/>
        <v>15.23610785</v>
      </c>
      <c r="K213" s="3">
        <f t="shared" si="7"/>
        <v>135.129766</v>
      </c>
      <c r="L213" s="3">
        <f t="shared" si="8"/>
        <v>0.03454899739</v>
      </c>
      <c r="M213" s="3">
        <f t="shared" si="9"/>
        <v>0.1684295302</v>
      </c>
      <c r="N213" s="3">
        <f t="shared" si="10"/>
        <v>0.4104016693</v>
      </c>
    </row>
    <row r="214" ht="14.25" customHeight="1">
      <c r="A214" s="3">
        <v>21.1</v>
      </c>
      <c r="B214" s="3">
        <v>187.75</v>
      </c>
      <c r="C214" s="3">
        <v>5.36</v>
      </c>
      <c r="E214" s="3">
        <f t="shared" si="1"/>
        <v>445.21</v>
      </c>
      <c r="F214" s="3">
        <f t="shared" si="2"/>
        <v>3961.525</v>
      </c>
      <c r="G214" s="3">
        <f t="shared" si="3"/>
        <v>184.9030955</v>
      </c>
      <c r="H214" s="3">
        <f t="shared" si="4"/>
        <v>0.7344341724</v>
      </c>
      <c r="I214" s="3">
        <f t="shared" si="5"/>
        <v>6.535071842</v>
      </c>
      <c r="J214" s="3">
        <f t="shared" si="6"/>
        <v>15.49656104</v>
      </c>
      <c r="K214" s="3">
        <f t="shared" si="7"/>
        <v>137.8900159</v>
      </c>
      <c r="L214" s="3">
        <f t="shared" si="8"/>
        <v>0.03480730675</v>
      </c>
      <c r="M214" s="3">
        <f t="shared" si="9"/>
        <v>0.2821085309</v>
      </c>
      <c r="N214" s="3">
        <f t="shared" si="10"/>
        <v>0.5311388998</v>
      </c>
    </row>
    <row r="215" ht="14.25" customHeight="1">
      <c r="A215" s="3">
        <v>21.2</v>
      </c>
      <c r="B215" s="3">
        <v>190.21</v>
      </c>
      <c r="C215" s="3">
        <v>4.62</v>
      </c>
      <c r="E215" s="3">
        <f t="shared" si="1"/>
        <v>449.44</v>
      </c>
      <c r="F215" s="3">
        <f t="shared" si="2"/>
        <v>4032.452</v>
      </c>
      <c r="G215" s="3">
        <f t="shared" si="3"/>
        <v>185.764152</v>
      </c>
      <c r="H215" s="3">
        <f t="shared" si="4"/>
        <v>0.9932347595</v>
      </c>
      <c r="I215" s="3">
        <f t="shared" si="5"/>
        <v>8.911470924</v>
      </c>
      <c r="J215" s="3">
        <f t="shared" si="6"/>
        <v>21.0565769</v>
      </c>
      <c r="K215" s="3">
        <f t="shared" si="7"/>
        <v>188.9231836</v>
      </c>
      <c r="L215" s="3">
        <f t="shared" si="8"/>
        <v>0.0468506962</v>
      </c>
      <c r="M215" s="3">
        <f t="shared" si="9"/>
        <v>0.9260304652</v>
      </c>
      <c r="N215" s="3">
        <f t="shared" si="10"/>
        <v>0.9623047673</v>
      </c>
    </row>
    <row r="216" ht="14.25" customHeight="1">
      <c r="A216" s="3">
        <v>21.3</v>
      </c>
      <c r="B216" s="3">
        <v>187.76</v>
      </c>
      <c r="C216" s="3">
        <v>2.75</v>
      </c>
      <c r="E216" s="3">
        <f t="shared" si="1"/>
        <v>453.69</v>
      </c>
      <c r="F216" s="3">
        <f t="shared" si="2"/>
        <v>3999.288</v>
      </c>
      <c r="G216" s="3">
        <f t="shared" si="3"/>
        <v>186.6252085</v>
      </c>
      <c r="H216" s="3">
        <f t="shared" si="4"/>
        <v>2.816528926</v>
      </c>
      <c r="I216" s="3">
        <f t="shared" si="5"/>
        <v>24.8277686</v>
      </c>
      <c r="J216" s="3">
        <f t="shared" si="6"/>
        <v>59.99206612</v>
      </c>
      <c r="K216" s="3">
        <f t="shared" si="7"/>
        <v>528.8314711</v>
      </c>
      <c r="L216" s="3">
        <f t="shared" si="8"/>
        <v>0.132231405</v>
      </c>
      <c r="M216" s="3">
        <f t="shared" si="9"/>
        <v>0.1702812371</v>
      </c>
      <c r="N216" s="3">
        <f t="shared" si="10"/>
        <v>0.4126514717</v>
      </c>
    </row>
    <row r="217" ht="14.25" customHeight="1">
      <c r="A217" s="3">
        <v>21.4</v>
      </c>
      <c r="B217" s="3">
        <v>188.8</v>
      </c>
      <c r="C217" s="3">
        <v>2.7</v>
      </c>
      <c r="E217" s="3">
        <f t="shared" si="1"/>
        <v>457.96</v>
      </c>
      <c r="F217" s="3">
        <f t="shared" si="2"/>
        <v>4040.32</v>
      </c>
      <c r="G217" s="3">
        <f t="shared" si="3"/>
        <v>187.4862649</v>
      </c>
      <c r="H217" s="3">
        <f t="shared" si="4"/>
        <v>2.935528121</v>
      </c>
      <c r="I217" s="3">
        <f t="shared" si="5"/>
        <v>25.89849108</v>
      </c>
      <c r="J217" s="3">
        <f t="shared" si="6"/>
        <v>62.82030178</v>
      </c>
      <c r="K217" s="3">
        <f t="shared" si="7"/>
        <v>554.2277092</v>
      </c>
      <c r="L217" s="3">
        <f t="shared" si="8"/>
        <v>0.1371742112</v>
      </c>
      <c r="M217" s="3">
        <f t="shared" si="9"/>
        <v>0.2367489482</v>
      </c>
      <c r="N217" s="3">
        <f t="shared" si="10"/>
        <v>0.4865685442</v>
      </c>
    </row>
    <row r="218" ht="14.25" customHeight="1">
      <c r="A218" s="3">
        <v>21.5</v>
      </c>
      <c r="B218" s="3">
        <v>195.37</v>
      </c>
      <c r="C218" s="3">
        <v>3.15</v>
      </c>
      <c r="E218" s="3">
        <f t="shared" si="1"/>
        <v>462.25</v>
      </c>
      <c r="F218" s="3">
        <f t="shared" si="2"/>
        <v>4200.455</v>
      </c>
      <c r="G218" s="3">
        <f t="shared" si="3"/>
        <v>188.3473214</v>
      </c>
      <c r="H218" s="3">
        <f t="shared" si="4"/>
        <v>2.166792643</v>
      </c>
      <c r="I218" s="3">
        <f t="shared" si="5"/>
        <v>19.68959436</v>
      </c>
      <c r="J218" s="3">
        <f t="shared" si="6"/>
        <v>46.58604182</v>
      </c>
      <c r="K218" s="3">
        <f t="shared" si="7"/>
        <v>423.3262787</v>
      </c>
      <c r="L218" s="3">
        <f t="shared" si="8"/>
        <v>0.1007810532</v>
      </c>
      <c r="M218" s="3">
        <f t="shared" si="9"/>
        <v>4.970321451</v>
      </c>
      <c r="N218" s="3">
        <f t="shared" si="10"/>
        <v>2.229421775</v>
      </c>
    </row>
    <row r="219" ht="14.25" customHeight="1">
      <c r="A219" s="3">
        <v>21.6</v>
      </c>
      <c r="B219" s="3">
        <v>184.14</v>
      </c>
      <c r="C219" s="3">
        <v>4.96</v>
      </c>
      <c r="E219" s="3">
        <f t="shared" si="1"/>
        <v>466.56</v>
      </c>
      <c r="F219" s="3">
        <f t="shared" si="2"/>
        <v>3977.424</v>
      </c>
      <c r="G219" s="3">
        <f t="shared" si="3"/>
        <v>189.2083779</v>
      </c>
      <c r="H219" s="3">
        <f t="shared" si="4"/>
        <v>0.8779916753</v>
      </c>
      <c r="I219" s="3">
        <f t="shared" si="5"/>
        <v>7.484879032</v>
      </c>
      <c r="J219" s="3">
        <f t="shared" si="6"/>
        <v>18.96462019</v>
      </c>
      <c r="K219" s="3">
        <f t="shared" si="7"/>
        <v>161.6733871</v>
      </c>
      <c r="L219" s="3">
        <f t="shared" si="8"/>
        <v>0.04064776275</v>
      </c>
      <c r="M219" s="3">
        <f t="shared" si="9"/>
        <v>1.0441782</v>
      </c>
      <c r="N219" s="3">
        <f t="shared" si="10"/>
        <v>-1.02185038</v>
      </c>
    </row>
    <row r="220" ht="14.25" customHeight="1">
      <c r="A220" s="3">
        <v>21.7</v>
      </c>
      <c r="B220" s="3">
        <v>191.78</v>
      </c>
      <c r="C220" s="3">
        <v>3.11</v>
      </c>
      <c r="E220" s="3">
        <f t="shared" si="1"/>
        <v>470.89</v>
      </c>
      <c r="F220" s="3">
        <f t="shared" si="2"/>
        <v>4161.626</v>
      </c>
      <c r="G220" s="3">
        <f t="shared" si="3"/>
        <v>190.0694344</v>
      </c>
      <c r="H220" s="3">
        <f t="shared" si="4"/>
        <v>2.243566547</v>
      </c>
      <c r="I220" s="3">
        <f t="shared" si="5"/>
        <v>19.82816555</v>
      </c>
      <c r="J220" s="3">
        <f t="shared" si="6"/>
        <v>48.68539407</v>
      </c>
      <c r="K220" s="3">
        <f t="shared" si="7"/>
        <v>430.2711924</v>
      </c>
      <c r="L220" s="3">
        <f t="shared" si="8"/>
        <v>0.1033901635</v>
      </c>
      <c r="M220" s="3">
        <f t="shared" si="9"/>
        <v>0.3025232157</v>
      </c>
      <c r="N220" s="3">
        <f t="shared" si="10"/>
        <v>0.5500211047</v>
      </c>
    </row>
    <row r="221" ht="14.25" customHeight="1">
      <c r="A221" s="3">
        <v>21.8</v>
      </c>
      <c r="B221" s="3">
        <v>190.35</v>
      </c>
      <c r="C221" s="3">
        <v>4.81</v>
      </c>
      <c r="E221" s="3">
        <f t="shared" si="1"/>
        <v>475.24</v>
      </c>
      <c r="F221" s="3">
        <f t="shared" si="2"/>
        <v>4149.63</v>
      </c>
      <c r="G221" s="3">
        <f t="shared" si="3"/>
        <v>190.9304908</v>
      </c>
      <c r="H221" s="3">
        <f t="shared" si="4"/>
        <v>0.9422504225</v>
      </c>
      <c r="I221" s="3">
        <f t="shared" si="5"/>
        <v>8.227402198</v>
      </c>
      <c r="J221" s="3">
        <f t="shared" si="6"/>
        <v>20.54105921</v>
      </c>
      <c r="K221" s="3">
        <f t="shared" si="7"/>
        <v>179.3573679</v>
      </c>
      <c r="L221" s="3">
        <f t="shared" si="8"/>
        <v>0.04322249644</v>
      </c>
      <c r="M221" s="3">
        <f t="shared" si="9"/>
        <v>0.01456466811</v>
      </c>
      <c r="N221" s="3">
        <f t="shared" si="10"/>
        <v>-0.1206841668</v>
      </c>
    </row>
    <row r="222" ht="14.25" customHeight="1">
      <c r="A222" s="3">
        <v>21.9</v>
      </c>
      <c r="B222" s="3">
        <v>191.27</v>
      </c>
      <c r="C222" s="3">
        <v>3.89</v>
      </c>
      <c r="E222" s="3">
        <f t="shared" si="1"/>
        <v>479.61</v>
      </c>
      <c r="F222" s="3">
        <f t="shared" si="2"/>
        <v>4188.813</v>
      </c>
      <c r="G222" s="3">
        <f t="shared" si="3"/>
        <v>191.7915473</v>
      </c>
      <c r="H222" s="3">
        <f t="shared" si="4"/>
        <v>1.447254512</v>
      </c>
      <c r="I222" s="3">
        <f t="shared" si="5"/>
        <v>12.64001692</v>
      </c>
      <c r="J222" s="3">
        <f t="shared" si="6"/>
        <v>31.69487381</v>
      </c>
      <c r="K222" s="3">
        <f t="shared" si="7"/>
        <v>276.8163705</v>
      </c>
      <c r="L222" s="3">
        <f t="shared" si="8"/>
        <v>0.06608468091</v>
      </c>
      <c r="M222" s="3">
        <f t="shared" si="9"/>
        <v>0.01797580025</v>
      </c>
      <c r="N222" s="3">
        <f t="shared" si="10"/>
        <v>-0.1340738612</v>
      </c>
    </row>
    <row r="223" ht="14.25" customHeight="1">
      <c r="A223" s="3">
        <v>22.0</v>
      </c>
      <c r="B223" s="3">
        <v>196.95</v>
      </c>
      <c r="C223" s="3">
        <v>3.91</v>
      </c>
      <c r="E223" s="3">
        <f t="shared" si="1"/>
        <v>484</v>
      </c>
      <c r="F223" s="3">
        <f t="shared" si="2"/>
        <v>4332.9</v>
      </c>
      <c r="G223" s="3">
        <f t="shared" si="3"/>
        <v>192.6526038</v>
      </c>
      <c r="H223" s="3">
        <f t="shared" si="4"/>
        <v>1.439027741</v>
      </c>
      <c r="I223" s="3">
        <f t="shared" si="5"/>
        <v>12.8825688</v>
      </c>
      <c r="J223" s="3">
        <f t="shared" si="6"/>
        <v>31.65861029</v>
      </c>
      <c r="K223" s="3">
        <f t="shared" si="7"/>
        <v>283.4165135</v>
      </c>
      <c r="L223" s="3">
        <f t="shared" si="8"/>
        <v>0.06541035184</v>
      </c>
      <c r="M223" s="3">
        <f t="shared" si="9"/>
        <v>1.207973137</v>
      </c>
      <c r="N223" s="3">
        <f t="shared" si="10"/>
        <v>1.099078313</v>
      </c>
    </row>
    <row r="224" ht="14.25" customHeight="1">
      <c r="A224" s="3">
        <v>22.1</v>
      </c>
      <c r="B224" s="3">
        <v>196.29</v>
      </c>
      <c r="C224" s="3">
        <v>4.36</v>
      </c>
      <c r="E224" s="3">
        <f t="shared" si="1"/>
        <v>488.41</v>
      </c>
      <c r="F224" s="3">
        <f t="shared" si="2"/>
        <v>4338.009</v>
      </c>
      <c r="G224" s="3">
        <f t="shared" si="3"/>
        <v>193.5136603</v>
      </c>
      <c r="H224" s="3">
        <f t="shared" si="4"/>
        <v>1.162570491</v>
      </c>
      <c r="I224" s="3">
        <f t="shared" si="5"/>
        <v>10.32583537</v>
      </c>
      <c r="J224" s="3">
        <f t="shared" si="6"/>
        <v>25.69280784</v>
      </c>
      <c r="K224" s="3">
        <f t="shared" si="7"/>
        <v>228.2009616</v>
      </c>
      <c r="L224" s="3">
        <f t="shared" si="8"/>
        <v>0.05260499958</v>
      </c>
      <c r="M224" s="3">
        <f t="shared" si="9"/>
        <v>0.4054826122</v>
      </c>
      <c r="N224" s="3">
        <f t="shared" si="10"/>
        <v>0.6367751661</v>
      </c>
    </row>
    <row r="225" ht="14.25" customHeight="1">
      <c r="A225" s="3">
        <v>22.2</v>
      </c>
      <c r="B225" s="3">
        <v>193.49</v>
      </c>
      <c r="C225" s="3">
        <v>3.22</v>
      </c>
      <c r="E225" s="3">
        <f t="shared" si="1"/>
        <v>492.84</v>
      </c>
      <c r="F225" s="3">
        <f t="shared" si="2"/>
        <v>4295.478</v>
      </c>
      <c r="G225" s="3">
        <f t="shared" si="3"/>
        <v>194.3747168</v>
      </c>
      <c r="H225" s="3">
        <f t="shared" si="4"/>
        <v>2.141121099</v>
      </c>
      <c r="I225" s="3">
        <f t="shared" si="5"/>
        <v>18.66150997</v>
      </c>
      <c r="J225" s="3">
        <f t="shared" si="6"/>
        <v>47.53288839</v>
      </c>
      <c r="K225" s="3">
        <f t="shared" si="7"/>
        <v>414.2855214</v>
      </c>
      <c r="L225" s="3">
        <f t="shared" si="8"/>
        <v>0.09644689634</v>
      </c>
      <c r="M225" s="3">
        <f t="shared" si="9"/>
        <v>0.07549127484</v>
      </c>
      <c r="N225" s="3">
        <f t="shared" si="10"/>
        <v>-0.2747567558</v>
      </c>
    </row>
    <row r="226" ht="14.25" customHeight="1">
      <c r="A226" s="3">
        <v>22.3</v>
      </c>
      <c r="B226" s="3">
        <v>196.8</v>
      </c>
      <c r="C226" s="3">
        <v>4.45</v>
      </c>
      <c r="E226" s="3">
        <f t="shared" si="1"/>
        <v>497.29</v>
      </c>
      <c r="F226" s="3">
        <f t="shared" si="2"/>
        <v>4388.64</v>
      </c>
      <c r="G226" s="3">
        <f t="shared" si="3"/>
        <v>195.2357732</v>
      </c>
      <c r="H226" s="3">
        <f t="shared" si="4"/>
        <v>1.126120439</v>
      </c>
      <c r="I226" s="3">
        <f t="shared" si="5"/>
        <v>9.938139124</v>
      </c>
      <c r="J226" s="3">
        <f t="shared" si="6"/>
        <v>25.1124858</v>
      </c>
      <c r="K226" s="3">
        <f t="shared" si="7"/>
        <v>221.6205025</v>
      </c>
      <c r="L226" s="3">
        <f t="shared" si="8"/>
        <v>0.05049867441</v>
      </c>
      <c r="M226" s="3">
        <f t="shared" si="9"/>
        <v>0.1235604284</v>
      </c>
      <c r="N226" s="3">
        <f t="shared" si="10"/>
        <v>0.3515116334</v>
      </c>
    </row>
    <row r="227" ht="14.25" customHeight="1">
      <c r="A227" s="3">
        <v>22.4</v>
      </c>
      <c r="B227" s="3">
        <v>189.9</v>
      </c>
      <c r="C227" s="3">
        <v>5.09</v>
      </c>
      <c r="E227" s="3">
        <f t="shared" si="1"/>
        <v>501.76</v>
      </c>
      <c r="F227" s="3">
        <f t="shared" si="2"/>
        <v>4253.76</v>
      </c>
      <c r="G227" s="3">
        <f t="shared" si="3"/>
        <v>196.0968297</v>
      </c>
      <c r="H227" s="3">
        <f t="shared" si="4"/>
        <v>0.8645944705</v>
      </c>
      <c r="I227" s="3">
        <f t="shared" si="5"/>
        <v>7.329754015</v>
      </c>
      <c r="J227" s="3">
        <f t="shared" si="6"/>
        <v>19.36691614</v>
      </c>
      <c r="K227" s="3">
        <f t="shared" si="7"/>
        <v>164.1864899</v>
      </c>
      <c r="L227" s="3">
        <f t="shared" si="8"/>
        <v>0.03859796743</v>
      </c>
      <c r="M227" s="3">
        <f t="shared" si="9"/>
        <v>1.482188908</v>
      </c>
      <c r="N227" s="3">
        <f t="shared" si="10"/>
        <v>-1.217451809</v>
      </c>
    </row>
    <row r="228" ht="14.25" customHeight="1">
      <c r="A228" s="3">
        <v>22.5</v>
      </c>
      <c r="B228" s="3">
        <v>198.55</v>
      </c>
      <c r="C228" s="3">
        <v>2.07</v>
      </c>
      <c r="E228" s="3">
        <f t="shared" si="1"/>
        <v>506.25</v>
      </c>
      <c r="F228" s="3">
        <f t="shared" si="2"/>
        <v>4467.375</v>
      </c>
      <c r="G228" s="3">
        <f t="shared" si="3"/>
        <v>196.9578862</v>
      </c>
      <c r="H228" s="3">
        <f t="shared" si="4"/>
        <v>5.25099769</v>
      </c>
      <c r="I228" s="3">
        <f t="shared" si="5"/>
        <v>46.33713739</v>
      </c>
      <c r="J228" s="3">
        <f t="shared" si="6"/>
        <v>118.147448</v>
      </c>
      <c r="K228" s="3">
        <f t="shared" si="7"/>
        <v>1042.585591</v>
      </c>
      <c r="L228" s="3">
        <f t="shared" si="8"/>
        <v>0.2333776751</v>
      </c>
      <c r="M228" s="3">
        <f t="shared" si="9"/>
        <v>0.5915718904</v>
      </c>
      <c r="N228" s="3">
        <f t="shared" si="10"/>
        <v>0.7691371077</v>
      </c>
    </row>
    <row r="229" ht="14.25" customHeight="1">
      <c r="A229" s="3">
        <v>22.6</v>
      </c>
      <c r="B229" s="3">
        <v>197.34</v>
      </c>
      <c r="C229" s="3">
        <v>4.85</v>
      </c>
      <c r="E229" s="3">
        <f t="shared" si="1"/>
        <v>510.76</v>
      </c>
      <c r="F229" s="3">
        <f t="shared" si="2"/>
        <v>4459.884</v>
      </c>
      <c r="G229" s="3">
        <f t="shared" si="3"/>
        <v>197.8189427</v>
      </c>
      <c r="H229" s="3">
        <f t="shared" si="4"/>
        <v>0.9607822298</v>
      </c>
      <c r="I229" s="3">
        <f t="shared" si="5"/>
        <v>8.38941439</v>
      </c>
      <c r="J229" s="3">
        <f t="shared" si="6"/>
        <v>21.71367839</v>
      </c>
      <c r="K229" s="3">
        <f t="shared" si="7"/>
        <v>189.6007652</v>
      </c>
      <c r="L229" s="3">
        <f t="shared" si="8"/>
        <v>0.04251248804</v>
      </c>
      <c r="M229" s="3">
        <f t="shared" si="9"/>
        <v>0.009751772829</v>
      </c>
      <c r="N229" s="3">
        <f t="shared" si="10"/>
        <v>-0.09875106495</v>
      </c>
    </row>
    <row r="230" ht="14.25" customHeight="1">
      <c r="A230" s="3">
        <v>22.7</v>
      </c>
      <c r="B230" s="3">
        <v>196.1</v>
      </c>
      <c r="C230" s="3">
        <v>4.7</v>
      </c>
      <c r="E230" s="3">
        <f t="shared" si="1"/>
        <v>515.29</v>
      </c>
      <c r="F230" s="3">
        <f t="shared" si="2"/>
        <v>4451.47</v>
      </c>
      <c r="G230" s="3">
        <f t="shared" si="3"/>
        <v>198.6799991</v>
      </c>
      <c r="H230" s="3">
        <f t="shared" si="4"/>
        <v>1.027614305</v>
      </c>
      <c r="I230" s="3">
        <f t="shared" si="5"/>
        <v>8.877320054</v>
      </c>
      <c r="J230" s="3">
        <f t="shared" si="6"/>
        <v>23.32684473</v>
      </c>
      <c r="K230" s="3">
        <f t="shared" si="7"/>
        <v>201.5151652</v>
      </c>
      <c r="L230" s="3">
        <f t="shared" si="8"/>
        <v>0.04526935265</v>
      </c>
      <c r="M230" s="3">
        <f t="shared" si="9"/>
        <v>0.3013307188</v>
      </c>
      <c r="N230" s="3">
        <f t="shared" si="10"/>
        <v>-0.5489359878</v>
      </c>
    </row>
    <row r="231" ht="14.25" customHeight="1">
      <c r="A231" s="3">
        <v>22.8</v>
      </c>
      <c r="B231" s="3">
        <v>201.82</v>
      </c>
      <c r="C231" s="3">
        <v>5.89</v>
      </c>
      <c r="E231" s="3">
        <f t="shared" si="1"/>
        <v>519.84</v>
      </c>
      <c r="F231" s="3">
        <f t="shared" si="2"/>
        <v>4601.496</v>
      </c>
      <c r="G231" s="3">
        <f t="shared" si="3"/>
        <v>199.5410556</v>
      </c>
      <c r="H231" s="3">
        <f t="shared" si="4"/>
        <v>0.6572101429</v>
      </c>
      <c r="I231" s="3">
        <f t="shared" si="5"/>
        <v>5.817462765</v>
      </c>
      <c r="J231" s="3">
        <f t="shared" si="6"/>
        <v>14.98439126</v>
      </c>
      <c r="K231" s="3">
        <f t="shared" si="7"/>
        <v>132.638151</v>
      </c>
      <c r="L231" s="3">
        <f t="shared" si="8"/>
        <v>0.02882500627</v>
      </c>
      <c r="M231" s="3">
        <f t="shared" si="9"/>
        <v>0.1497051918</v>
      </c>
      <c r="N231" s="3">
        <f t="shared" si="10"/>
        <v>0.3869175517</v>
      </c>
    </row>
    <row r="232" ht="14.25" customHeight="1">
      <c r="A232" s="3">
        <v>22.9</v>
      </c>
      <c r="B232" s="3">
        <v>200.6</v>
      </c>
      <c r="C232" s="3">
        <v>2.03</v>
      </c>
      <c r="E232" s="3">
        <f t="shared" si="1"/>
        <v>524.41</v>
      </c>
      <c r="F232" s="3">
        <f t="shared" si="2"/>
        <v>4593.74</v>
      </c>
      <c r="G232" s="3">
        <f t="shared" si="3"/>
        <v>200.4021121</v>
      </c>
      <c r="H232" s="3">
        <f t="shared" si="4"/>
        <v>5.557038511</v>
      </c>
      <c r="I232" s="3">
        <f t="shared" si="5"/>
        <v>48.67868669</v>
      </c>
      <c r="J232" s="3">
        <f t="shared" si="6"/>
        <v>127.2561819</v>
      </c>
      <c r="K232" s="3">
        <f t="shared" si="7"/>
        <v>1114.741925</v>
      </c>
      <c r="L232" s="3">
        <f t="shared" si="8"/>
        <v>0.2426654372</v>
      </c>
      <c r="M232" s="3">
        <f t="shared" si="9"/>
        <v>0.009502686674</v>
      </c>
      <c r="N232" s="3">
        <f t="shared" si="10"/>
        <v>0.09748172482</v>
      </c>
    </row>
    <row r="233" ht="14.25" customHeight="1">
      <c r="A233" s="3">
        <v>23.0</v>
      </c>
      <c r="B233" s="3">
        <v>201.2</v>
      </c>
      <c r="C233" s="3">
        <v>2.93</v>
      </c>
      <c r="E233" s="3">
        <f t="shared" si="1"/>
        <v>529</v>
      </c>
      <c r="F233" s="3">
        <f t="shared" si="2"/>
        <v>4627.6</v>
      </c>
      <c r="G233" s="3">
        <f t="shared" si="3"/>
        <v>201.2631686</v>
      </c>
      <c r="H233" s="3">
        <f t="shared" si="4"/>
        <v>2.679122646</v>
      </c>
      <c r="I233" s="3">
        <f t="shared" si="5"/>
        <v>23.43649897</v>
      </c>
      <c r="J233" s="3">
        <f t="shared" si="6"/>
        <v>61.61982085</v>
      </c>
      <c r="K233" s="3">
        <f t="shared" si="7"/>
        <v>539.0394763</v>
      </c>
      <c r="L233" s="3">
        <f t="shared" si="8"/>
        <v>0.1164835933</v>
      </c>
      <c r="M233" s="3">
        <f t="shared" si="9"/>
        <v>0.0004648008775</v>
      </c>
      <c r="N233" s="3">
        <f t="shared" si="10"/>
        <v>-0.02155924112</v>
      </c>
    </row>
    <row r="234" ht="14.25" customHeight="1">
      <c r="A234" s="3">
        <v>23.1</v>
      </c>
      <c r="B234" s="3">
        <v>209.38</v>
      </c>
      <c r="C234" s="3">
        <v>5.77</v>
      </c>
      <c r="E234" s="3">
        <f t="shared" si="1"/>
        <v>533.61</v>
      </c>
      <c r="F234" s="3">
        <f t="shared" si="2"/>
        <v>4836.678</v>
      </c>
      <c r="G234" s="3">
        <f t="shared" si="3"/>
        <v>202.1242251</v>
      </c>
      <c r="H234" s="3">
        <f t="shared" si="4"/>
        <v>0.6938416299</v>
      </c>
      <c r="I234" s="3">
        <f t="shared" si="5"/>
        <v>6.289028592</v>
      </c>
      <c r="J234" s="3">
        <f t="shared" si="6"/>
        <v>16.02774165</v>
      </c>
      <c r="K234" s="3">
        <f t="shared" si="7"/>
        <v>145.2765605</v>
      </c>
      <c r="L234" s="3">
        <f t="shared" si="8"/>
        <v>0.03003643419</v>
      </c>
      <c r="M234" s="3">
        <f t="shared" si="9"/>
        <v>1.581306226</v>
      </c>
      <c r="N234" s="3">
        <f t="shared" si="10"/>
        <v>1.257499991</v>
      </c>
    </row>
    <row r="235" ht="14.25" customHeight="1">
      <c r="A235" s="3">
        <v>23.2</v>
      </c>
      <c r="B235" s="3">
        <v>196.87</v>
      </c>
      <c r="C235" s="3">
        <v>4.46</v>
      </c>
      <c r="E235" s="3">
        <f t="shared" si="1"/>
        <v>538.24</v>
      </c>
      <c r="F235" s="3">
        <f t="shared" si="2"/>
        <v>4567.384</v>
      </c>
      <c r="G235" s="3">
        <f t="shared" si="3"/>
        <v>202.9852815</v>
      </c>
      <c r="H235" s="3">
        <f t="shared" si="4"/>
        <v>1.166321462</v>
      </c>
      <c r="I235" s="3">
        <f t="shared" si="5"/>
        <v>9.897142512</v>
      </c>
      <c r="J235" s="3">
        <f t="shared" si="6"/>
        <v>27.05865793</v>
      </c>
      <c r="K235" s="3">
        <f t="shared" si="7"/>
        <v>229.6137063</v>
      </c>
      <c r="L235" s="3">
        <f t="shared" si="8"/>
        <v>0.05027247682</v>
      </c>
      <c r="M235" s="3">
        <f t="shared" si="9"/>
        <v>1.880023136</v>
      </c>
      <c r="N235" s="3">
        <f t="shared" si="10"/>
        <v>-1.371139357</v>
      </c>
    </row>
    <row r="236" ht="14.25" customHeight="1">
      <c r="A236" s="3">
        <v>23.3</v>
      </c>
      <c r="B236" s="3">
        <v>209.45</v>
      </c>
      <c r="C236" s="3">
        <v>3.54</v>
      </c>
      <c r="E236" s="3">
        <f t="shared" si="1"/>
        <v>542.89</v>
      </c>
      <c r="F236" s="3">
        <f t="shared" si="2"/>
        <v>4880.185</v>
      </c>
      <c r="G236" s="3">
        <f t="shared" si="3"/>
        <v>203.846338</v>
      </c>
      <c r="H236" s="3">
        <f t="shared" si="4"/>
        <v>1.85929969</v>
      </c>
      <c r="I236" s="3">
        <f t="shared" si="5"/>
        <v>16.71374765</v>
      </c>
      <c r="J236" s="3">
        <f t="shared" si="6"/>
        <v>43.32168279</v>
      </c>
      <c r="K236" s="3">
        <f t="shared" si="7"/>
        <v>389.4303202</v>
      </c>
      <c r="L236" s="3">
        <f t="shared" si="8"/>
        <v>0.07979826997</v>
      </c>
      <c r="M236" s="3">
        <f t="shared" si="9"/>
        <v>2.505747686</v>
      </c>
      <c r="N236" s="3">
        <f t="shared" si="10"/>
        <v>1.582955364</v>
      </c>
    </row>
    <row r="237" ht="14.25" customHeight="1">
      <c r="A237" s="3">
        <v>23.4</v>
      </c>
      <c r="B237" s="3">
        <v>202.88</v>
      </c>
      <c r="C237" s="3">
        <v>4.49</v>
      </c>
      <c r="E237" s="3">
        <f t="shared" si="1"/>
        <v>547.56</v>
      </c>
      <c r="F237" s="3">
        <f t="shared" si="2"/>
        <v>4747.392</v>
      </c>
      <c r="G237" s="3">
        <f t="shared" si="3"/>
        <v>204.7073945</v>
      </c>
      <c r="H237" s="3">
        <f t="shared" si="4"/>
        <v>1.160708528</v>
      </c>
      <c r="I237" s="3">
        <f t="shared" si="5"/>
        <v>10.06344215</v>
      </c>
      <c r="J237" s="3">
        <f t="shared" si="6"/>
        <v>27.16057956</v>
      </c>
      <c r="K237" s="3">
        <f t="shared" si="7"/>
        <v>235.4845462</v>
      </c>
      <c r="L237" s="3">
        <f t="shared" si="8"/>
        <v>0.04960292856</v>
      </c>
      <c r="M237" s="3">
        <f t="shared" si="9"/>
        <v>0.165642562</v>
      </c>
      <c r="N237" s="3">
        <f t="shared" si="10"/>
        <v>-0.4069920909</v>
      </c>
    </row>
    <row r="238" ht="14.25" customHeight="1">
      <c r="A238" s="3">
        <v>23.5</v>
      </c>
      <c r="B238" s="3">
        <v>200.97</v>
      </c>
      <c r="C238" s="3">
        <v>4.57</v>
      </c>
      <c r="E238" s="3">
        <f t="shared" si="1"/>
        <v>552.25</v>
      </c>
      <c r="F238" s="3">
        <f t="shared" si="2"/>
        <v>4722.795</v>
      </c>
      <c r="G238" s="3">
        <f t="shared" si="3"/>
        <v>205.568451</v>
      </c>
      <c r="H238" s="3">
        <f t="shared" si="4"/>
        <v>1.125214868</v>
      </c>
      <c r="I238" s="3">
        <f t="shared" si="5"/>
        <v>9.62274179</v>
      </c>
      <c r="J238" s="3">
        <f t="shared" si="6"/>
        <v>26.4425494</v>
      </c>
      <c r="K238" s="3">
        <f t="shared" si="7"/>
        <v>226.1344321</v>
      </c>
      <c r="L238" s="3">
        <f t="shared" si="8"/>
        <v>0.04788148375</v>
      </c>
      <c r="M238" s="3">
        <f t="shared" si="9"/>
        <v>1.012489947</v>
      </c>
      <c r="N238" s="3">
        <f t="shared" si="10"/>
        <v>-1.006225594</v>
      </c>
    </row>
    <row r="239" ht="14.25" customHeight="1">
      <c r="A239" s="3">
        <v>23.6</v>
      </c>
      <c r="B239" s="3">
        <v>203.08</v>
      </c>
      <c r="C239" s="3">
        <v>5.45</v>
      </c>
      <c r="E239" s="3">
        <f t="shared" si="1"/>
        <v>556.96</v>
      </c>
      <c r="F239" s="3">
        <f t="shared" si="2"/>
        <v>4792.688</v>
      </c>
      <c r="G239" s="3">
        <f t="shared" si="3"/>
        <v>206.4295074</v>
      </c>
      <c r="H239" s="3">
        <f t="shared" si="4"/>
        <v>0.7945459136</v>
      </c>
      <c r="I239" s="3">
        <f t="shared" si="5"/>
        <v>6.837134921</v>
      </c>
      <c r="J239" s="3">
        <f t="shared" si="6"/>
        <v>18.75128356</v>
      </c>
      <c r="K239" s="3">
        <f t="shared" si="7"/>
        <v>161.3563841</v>
      </c>
      <c r="L239" s="3">
        <f t="shared" si="8"/>
        <v>0.03366719973</v>
      </c>
      <c r="M239" s="3">
        <f t="shared" si="9"/>
        <v>0.3777190511</v>
      </c>
      <c r="N239" s="3">
        <f t="shared" si="10"/>
        <v>-0.6145885218</v>
      </c>
    </row>
    <row r="240" ht="14.25" customHeight="1">
      <c r="A240" s="3">
        <v>23.7</v>
      </c>
      <c r="B240" s="3">
        <v>207.95</v>
      </c>
      <c r="C240" s="3">
        <v>2.88</v>
      </c>
      <c r="E240" s="3">
        <f t="shared" si="1"/>
        <v>561.69</v>
      </c>
      <c r="F240" s="3">
        <f t="shared" si="2"/>
        <v>4928.415</v>
      </c>
      <c r="G240" s="3">
        <f t="shared" si="3"/>
        <v>207.2905639</v>
      </c>
      <c r="H240" s="3">
        <f t="shared" si="4"/>
        <v>2.857349537</v>
      </c>
      <c r="I240" s="3">
        <f t="shared" si="5"/>
        <v>25.07113233</v>
      </c>
      <c r="J240" s="3">
        <f t="shared" si="6"/>
        <v>67.71918403</v>
      </c>
      <c r="K240" s="3">
        <f t="shared" si="7"/>
        <v>594.1858362</v>
      </c>
      <c r="L240" s="3">
        <f t="shared" si="8"/>
        <v>0.1205632716</v>
      </c>
      <c r="M240" s="3">
        <f t="shared" si="9"/>
        <v>0.052427655</v>
      </c>
      <c r="N240" s="3">
        <f t="shared" si="10"/>
        <v>0.2289708606</v>
      </c>
    </row>
    <row r="241" ht="14.25" customHeight="1">
      <c r="A241" s="3">
        <v>23.8</v>
      </c>
      <c r="B241" s="3">
        <v>205.24</v>
      </c>
      <c r="C241" s="3">
        <v>2.51</v>
      </c>
      <c r="E241" s="3">
        <f t="shared" si="1"/>
        <v>566.44</v>
      </c>
      <c r="F241" s="3">
        <f t="shared" si="2"/>
        <v>4884.712</v>
      </c>
      <c r="G241" s="3">
        <f t="shared" si="3"/>
        <v>208.1516204</v>
      </c>
      <c r="H241" s="3">
        <f t="shared" si="4"/>
        <v>3.777717814</v>
      </c>
      <c r="I241" s="3">
        <f t="shared" si="5"/>
        <v>32.57726068</v>
      </c>
      <c r="J241" s="3">
        <f t="shared" si="6"/>
        <v>89.90968397</v>
      </c>
      <c r="K241" s="3">
        <f t="shared" si="7"/>
        <v>775.3388041</v>
      </c>
      <c r="L241" s="3">
        <f t="shared" si="8"/>
        <v>0.1587276392</v>
      </c>
      <c r="M241" s="3">
        <f t="shared" si="9"/>
        <v>1.345618855</v>
      </c>
      <c r="N241" s="3">
        <f t="shared" si="10"/>
        <v>-1.160008127</v>
      </c>
    </row>
    <row r="242" ht="14.25" customHeight="1">
      <c r="A242" s="3">
        <v>23.9</v>
      </c>
      <c r="B242" s="3">
        <v>219.63</v>
      </c>
      <c r="C242" s="3">
        <v>6.01</v>
      </c>
      <c r="E242" s="3">
        <f t="shared" si="1"/>
        <v>571.21</v>
      </c>
      <c r="F242" s="3">
        <f t="shared" si="2"/>
        <v>5249.157</v>
      </c>
      <c r="G242" s="3">
        <f t="shared" si="3"/>
        <v>209.0126769</v>
      </c>
      <c r="H242" s="3">
        <f t="shared" si="4"/>
        <v>0.6616814461</v>
      </c>
      <c r="I242" s="3">
        <f t="shared" si="5"/>
        <v>6.08054795</v>
      </c>
      <c r="J242" s="3">
        <f t="shared" si="6"/>
        <v>15.81418656</v>
      </c>
      <c r="K242" s="3">
        <f t="shared" si="7"/>
        <v>145.325096</v>
      </c>
      <c r="L242" s="3">
        <f t="shared" si="8"/>
        <v>0.02768541615</v>
      </c>
      <c r="M242" s="3">
        <f t="shared" si="9"/>
        <v>3.120909142</v>
      </c>
      <c r="N242" s="3">
        <f t="shared" si="10"/>
        <v>1.766609505</v>
      </c>
    </row>
    <row r="243" ht="14.25" customHeight="1">
      <c r="A243" s="3">
        <v>24.0</v>
      </c>
      <c r="B243" s="3">
        <v>206.3</v>
      </c>
      <c r="C243" s="3">
        <v>4.91</v>
      </c>
      <c r="E243" s="3">
        <f t="shared" si="1"/>
        <v>576</v>
      </c>
      <c r="F243" s="3">
        <f t="shared" si="2"/>
        <v>4951.2</v>
      </c>
      <c r="G243" s="3">
        <f t="shared" si="3"/>
        <v>209.8737334</v>
      </c>
      <c r="H243" s="3">
        <f t="shared" si="4"/>
        <v>0.9955160299</v>
      </c>
      <c r="I243" s="3">
        <f t="shared" si="5"/>
        <v>8.557289874</v>
      </c>
      <c r="J243" s="3">
        <f t="shared" si="6"/>
        <v>23.89238472</v>
      </c>
      <c r="K243" s="3">
        <f t="shared" si="7"/>
        <v>205.374957</v>
      </c>
      <c r="L243" s="3">
        <f t="shared" si="8"/>
        <v>0.04147983458</v>
      </c>
      <c r="M243" s="3">
        <f t="shared" si="9"/>
        <v>0.5297626148</v>
      </c>
      <c r="N243" s="3">
        <f t="shared" si="10"/>
        <v>-0.7278479338</v>
      </c>
    </row>
    <row r="244" ht="14.25" customHeight="1">
      <c r="A244" s="3">
        <v>24.1</v>
      </c>
      <c r="B244" s="3">
        <v>212.22</v>
      </c>
      <c r="C244" s="3">
        <v>4.86</v>
      </c>
      <c r="E244" s="3">
        <f t="shared" si="1"/>
        <v>580.81</v>
      </c>
      <c r="F244" s="3">
        <f t="shared" si="2"/>
        <v>5114.502</v>
      </c>
      <c r="G244" s="3">
        <f t="shared" si="3"/>
        <v>210.7347898</v>
      </c>
      <c r="H244" s="3">
        <f t="shared" si="4"/>
        <v>1.02033904</v>
      </c>
      <c r="I244" s="3">
        <f t="shared" si="5"/>
        <v>8.984910837</v>
      </c>
      <c r="J244" s="3">
        <f t="shared" si="6"/>
        <v>24.59017088</v>
      </c>
      <c r="K244" s="3">
        <f t="shared" si="7"/>
        <v>216.5363512</v>
      </c>
      <c r="L244" s="3">
        <f t="shared" si="8"/>
        <v>0.04233771952</v>
      </c>
      <c r="M244" s="3">
        <f t="shared" si="9"/>
        <v>0.09339062644</v>
      </c>
      <c r="N244" s="3">
        <f t="shared" si="10"/>
        <v>0.3055987998</v>
      </c>
    </row>
    <row r="245" ht="14.25" customHeight="1">
      <c r="A245" s="3">
        <v>24.2</v>
      </c>
      <c r="B245" s="3">
        <v>207.1</v>
      </c>
      <c r="C245" s="3">
        <v>3.94</v>
      </c>
      <c r="E245" s="3">
        <f t="shared" si="1"/>
        <v>585.64</v>
      </c>
      <c r="F245" s="3">
        <f t="shared" si="2"/>
        <v>5011.82</v>
      </c>
      <c r="G245" s="3">
        <f t="shared" si="3"/>
        <v>211.5958463</v>
      </c>
      <c r="H245" s="3">
        <f t="shared" si="4"/>
        <v>1.558916746</v>
      </c>
      <c r="I245" s="3">
        <f t="shared" si="5"/>
        <v>13.34097761</v>
      </c>
      <c r="J245" s="3">
        <f t="shared" si="6"/>
        <v>37.72578526</v>
      </c>
      <c r="K245" s="3">
        <f t="shared" si="7"/>
        <v>322.8516581</v>
      </c>
      <c r="L245" s="3">
        <f t="shared" si="8"/>
        <v>0.06441804736</v>
      </c>
      <c r="M245" s="3">
        <f t="shared" si="9"/>
        <v>1.302058418</v>
      </c>
      <c r="N245" s="3">
        <f t="shared" si="10"/>
        <v>-1.141077744</v>
      </c>
    </row>
    <row r="246" ht="14.25" customHeight="1">
      <c r="A246" s="3">
        <v>24.3</v>
      </c>
      <c r="B246" s="3">
        <v>214.55</v>
      </c>
      <c r="C246" s="3">
        <v>2.23</v>
      </c>
      <c r="E246" s="3">
        <f t="shared" si="1"/>
        <v>590.49</v>
      </c>
      <c r="F246" s="3">
        <f t="shared" si="2"/>
        <v>5213.565</v>
      </c>
      <c r="G246" s="3">
        <f t="shared" si="3"/>
        <v>212.4569028</v>
      </c>
      <c r="H246" s="3">
        <f t="shared" si="4"/>
        <v>4.886484747</v>
      </c>
      <c r="I246" s="3">
        <f t="shared" si="5"/>
        <v>43.14383961</v>
      </c>
      <c r="J246" s="3">
        <f t="shared" si="6"/>
        <v>118.7415794</v>
      </c>
      <c r="K246" s="3">
        <f t="shared" si="7"/>
        <v>1048.395303</v>
      </c>
      <c r="L246" s="3">
        <f t="shared" si="8"/>
        <v>0.2010899073</v>
      </c>
      <c r="M246" s="3">
        <f t="shared" si="9"/>
        <v>0.880986132</v>
      </c>
      <c r="N246" s="3">
        <f t="shared" si="10"/>
        <v>0.9386086149</v>
      </c>
    </row>
    <row r="247" ht="14.25" customHeight="1">
      <c r="A247" s="3">
        <v>24.4</v>
      </c>
      <c r="B247" s="3">
        <v>224.44</v>
      </c>
      <c r="C247" s="3">
        <v>5.07</v>
      </c>
      <c r="E247" s="3">
        <f t="shared" si="1"/>
        <v>595.36</v>
      </c>
      <c r="F247" s="3">
        <f t="shared" si="2"/>
        <v>5476.336</v>
      </c>
      <c r="G247" s="3">
        <f t="shared" si="3"/>
        <v>213.3179593</v>
      </c>
      <c r="H247" s="3">
        <f t="shared" si="4"/>
        <v>0.9492353598</v>
      </c>
      <c r="I247" s="3">
        <f t="shared" si="5"/>
        <v>8.731409187</v>
      </c>
      <c r="J247" s="3">
        <f t="shared" si="6"/>
        <v>23.16134278</v>
      </c>
      <c r="K247" s="3">
        <f t="shared" si="7"/>
        <v>213.0463842</v>
      </c>
      <c r="L247" s="3">
        <f t="shared" si="8"/>
        <v>0.03890308852</v>
      </c>
      <c r="M247" s="3">
        <f t="shared" si="9"/>
        <v>4.812303883</v>
      </c>
      <c r="N247" s="3">
        <f t="shared" si="10"/>
        <v>2.193696397</v>
      </c>
    </row>
    <row r="248" ht="14.25" customHeight="1">
      <c r="A248" s="3">
        <v>24.5</v>
      </c>
      <c r="B248" s="3">
        <v>216.22</v>
      </c>
      <c r="C248" s="3">
        <v>2.15</v>
      </c>
      <c r="E248" s="3">
        <f t="shared" si="1"/>
        <v>600.25</v>
      </c>
      <c r="F248" s="3">
        <f t="shared" si="2"/>
        <v>5297.39</v>
      </c>
      <c r="G248" s="3">
        <f t="shared" si="3"/>
        <v>214.1790157</v>
      </c>
      <c r="H248" s="3">
        <f t="shared" si="4"/>
        <v>5.30016225</v>
      </c>
      <c r="I248" s="3">
        <f t="shared" si="5"/>
        <v>46.77555435</v>
      </c>
      <c r="J248" s="3">
        <f t="shared" si="6"/>
        <v>129.8539751</v>
      </c>
      <c r="K248" s="3">
        <f t="shared" si="7"/>
        <v>1146.001082</v>
      </c>
      <c r="L248" s="3">
        <f t="shared" si="8"/>
        <v>0.2163331531</v>
      </c>
      <c r="M248" s="3">
        <f t="shared" si="9"/>
        <v>0.901161002</v>
      </c>
      <c r="N248" s="3">
        <f t="shared" si="10"/>
        <v>0.9492950026</v>
      </c>
    </row>
    <row r="249" ht="14.25" customHeight="1">
      <c r="A249" s="3">
        <v>24.6</v>
      </c>
      <c r="B249" s="3">
        <v>213.26</v>
      </c>
      <c r="C249" s="3">
        <v>2.85</v>
      </c>
      <c r="E249" s="3">
        <f t="shared" si="1"/>
        <v>605.16</v>
      </c>
      <c r="F249" s="3">
        <f t="shared" si="2"/>
        <v>5246.196</v>
      </c>
      <c r="G249" s="3">
        <f t="shared" si="3"/>
        <v>215.0400722</v>
      </c>
      <c r="H249" s="3">
        <f t="shared" si="4"/>
        <v>3.028624192</v>
      </c>
      <c r="I249" s="3">
        <f t="shared" si="5"/>
        <v>26.25546322</v>
      </c>
      <c r="J249" s="3">
        <f t="shared" si="6"/>
        <v>74.50415512</v>
      </c>
      <c r="K249" s="3">
        <f t="shared" si="7"/>
        <v>645.8843952</v>
      </c>
      <c r="L249" s="3">
        <f t="shared" si="8"/>
        <v>0.1231148046</v>
      </c>
      <c r="M249" s="3">
        <f t="shared" si="9"/>
        <v>0.3901086016</v>
      </c>
      <c r="N249" s="3">
        <f t="shared" si="10"/>
        <v>-0.6245867447</v>
      </c>
    </row>
    <row r="250" ht="14.25" customHeight="1">
      <c r="A250" s="3">
        <v>24.7</v>
      </c>
      <c r="B250" s="3">
        <v>225.46</v>
      </c>
      <c r="C250" s="3">
        <v>5.66</v>
      </c>
      <c r="E250" s="3">
        <f t="shared" si="1"/>
        <v>610.09</v>
      </c>
      <c r="F250" s="3">
        <f t="shared" si="2"/>
        <v>5568.862</v>
      </c>
      <c r="G250" s="3">
        <f t="shared" si="3"/>
        <v>215.9011287</v>
      </c>
      <c r="H250" s="3">
        <f t="shared" si="4"/>
        <v>0.7710172433</v>
      </c>
      <c r="I250" s="3">
        <f t="shared" si="5"/>
        <v>7.037795453</v>
      </c>
      <c r="J250" s="3">
        <f t="shared" si="6"/>
        <v>19.04412591</v>
      </c>
      <c r="K250" s="3">
        <f t="shared" si="7"/>
        <v>173.8335477</v>
      </c>
      <c r="L250" s="3">
        <f t="shared" si="8"/>
        <v>0.03121527301</v>
      </c>
      <c r="M250" s="3">
        <f t="shared" si="9"/>
        <v>2.852202566</v>
      </c>
      <c r="N250" s="3">
        <f t="shared" si="10"/>
        <v>1.688846519</v>
      </c>
    </row>
    <row r="251" ht="14.25" customHeight="1">
      <c r="A251" s="3">
        <v>24.8</v>
      </c>
      <c r="B251" s="3">
        <v>219.11</v>
      </c>
      <c r="C251" s="3">
        <v>4.11</v>
      </c>
      <c r="E251" s="3">
        <f t="shared" si="1"/>
        <v>615.04</v>
      </c>
      <c r="F251" s="3">
        <f t="shared" si="2"/>
        <v>5433.928</v>
      </c>
      <c r="G251" s="3">
        <f t="shared" si="3"/>
        <v>216.7621852</v>
      </c>
      <c r="H251" s="3">
        <f t="shared" si="4"/>
        <v>1.468141912</v>
      </c>
      <c r="I251" s="3">
        <f t="shared" si="5"/>
        <v>12.9711522</v>
      </c>
      <c r="J251" s="3">
        <f t="shared" si="6"/>
        <v>36.40991943</v>
      </c>
      <c r="K251" s="3">
        <f t="shared" si="7"/>
        <v>321.6845744</v>
      </c>
      <c r="L251" s="3">
        <f t="shared" si="8"/>
        <v>0.05919927066</v>
      </c>
      <c r="M251" s="3">
        <f t="shared" si="9"/>
        <v>0.3263202585</v>
      </c>
      <c r="N251" s="3">
        <f t="shared" si="10"/>
        <v>0.5712444822</v>
      </c>
    </row>
    <row r="252" ht="14.25" customHeight="1">
      <c r="A252" s="3">
        <v>24.9</v>
      </c>
      <c r="B252" s="3">
        <v>217.23</v>
      </c>
      <c r="C252" s="3">
        <v>5.63</v>
      </c>
      <c r="E252" s="3">
        <f t="shared" si="1"/>
        <v>620.01</v>
      </c>
      <c r="F252" s="3">
        <f t="shared" si="2"/>
        <v>5409.027</v>
      </c>
      <c r="G252" s="3">
        <f t="shared" si="3"/>
        <v>217.6232417</v>
      </c>
      <c r="H252" s="3">
        <f t="shared" si="4"/>
        <v>0.7855657809</v>
      </c>
      <c r="I252" s="3">
        <f t="shared" si="5"/>
        <v>6.85335159</v>
      </c>
      <c r="J252" s="3">
        <f t="shared" si="6"/>
        <v>19.56058794</v>
      </c>
      <c r="K252" s="3">
        <f t="shared" si="7"/>
        <v>170.6484546</v>
      </c>
      <c r="L252" s="3">
        <f t="shared" si="8"/>
        <v>0.03154882654</v>
      </c>
      <c r="M252" s="3">
        <f t="shared" si="9"/>
        <v>0.004878678985</v>
      </c>
      <c r="N252" s="3">
        <f t="shared" si="10"/>
        <v>-0.06984754101</v>
      </c>
    </row>
    <row r="253" ht="14.25" customHeight="1">
      <c r="A253" s="3">
        <v>25.0</v>
      </c>
      <c r="B253" s="3">
        <v>212.43</v>
      </c>
      <c r="C253" s="3">
        <v>4.79</v>
      </c>
      <c r="E253" s="3">
        <f t="shared" si="1"/>
        <v>625</v>
      </c>
      <c r="F253" s="3">
        <f t="shared" si="2"/>
        <v>5310.75</v>
      </c>
      <c r="G253" s="3">
        <f t="shared" si="3"/>
        <v>218.4842981</v>
      </c>
      <c r="H253" s="3">
        <f t="shared" si="4"/>
        <v>1.089604735</v>
      </c>
      <c r="I253" s="3">
        <f t="shared" si="5"/>
        <v>9.258589354</v>
      </c>
      <c r="J253" s="3">
        <f t="shared" si="6"/>
        <v>27.24011837</v>
      </c>
      <c r="K253" s="3">
        <f t="shared" si="7"/>
        <v>231.4647339</v>
      </c>
      <c r="L253" s="3">
        <f t="shared" si="8"/>
        <v>0.0435841894</v>
      </c>
      <c r="M253" s="3">
        <f t="shared" si="9"/>
        <v>1.597557799</v>
      </c>
      <c r="N253" s="3">
        <f t="shared" si="10"/>
        <v>-1.263945331</v>
      </c>
    </row>
    <row r="254" ht="14.25" customHeight="1">
      <c r="A254" s="3">
        <v>25.1</v>
      </c>
      <c r="B254" s="3">
        <v>222.73</v>
      </c>
      <c r="C254" s="3">
        <v>5.74</v>
      </c>
      <c r="E254" s="3">
        <f t="shared" si="1"/>
        <v>630.01</v>
      </c>
      <c r="F254" s="3">
        <f t="shared" si="2"/>
        <v>5590.523</v>
      </c>
      <c r="G254" s="3">
        <f t="shared" si="3"/>
        <v>219.3453546</v>
      </c>
      <c r="H254" s="3">
        <f t="shared" si="4"/>
        <v>0.7618157316</v>
      </c>
      <c r="I254" s="3">
        <f t="shared" si="5"/>
        <v>6.760128204</v>
      </c>
      <c r="J254" s="3">
        <f t="shared" si="6"/>
        <v>19.12157486</v>
      </c>
      <c r="K254" s="3">
        <f t="shared" si="7"/>
        <v>169.6792179</v>
      </c>
      <c r="L254" s="3">
        <f t="shared" si="8"/>
        <v>0.03035122437</v>
      </c>
      <c r="M254" s="3">
        <f t="shared" si="9"/>
        <v>0.3476982969</v>
      </c>
      <c r="N254" s="3">
        <f t="shared" si="10"/>
        <v>0.5896594753</v>
      </c>
    </row>
    <row r="255" ht="14.25" customHeight="1">
      <c r="A255" s="3">
        <v>25.2</v>
      </c>
      <c r="B255" s="3">
        <v>219.58</v>
      </c>
      <c r="C255" s="3">
        <v>3.55</v>
      </c>
      <c r="E255" s="3">
        <f t="shared" si="1"/>
        <v>635.04</v>
      </c>
      <c r="F255" s="3">
        <f t="shared" si="2"/>
        <v>5533.416</v>
      </c>
      <c r="G255" s="3">
        <f t="shared" si="3"/>
        <v>220.2064111</v>
      </c>
      <c r="H255" s="3">
        <f t="shared" si="4"/>
        <v>1.999603253</v>
      </c>
      <c r="I255" s="3">
        <f t="shared" si="5"/>
        <v>17.42352708</v>
      </c>
      <c r="J255" s="3">
        <f t="shared" si="6"/>
        <v>50.39000198</v>
      </c>
      <c r="K255" s="3">
        <f t="shared" si="7"/>
        <v>439.0728824</v>
      </c>
      <c r="L255" s="3">
        <f t="shared" si="8"/>
        <v>0.07934933545</v>
      </c>
      <c r="M255" s="3">
        <f t="shared" si="9"/>
        <v>0.03113595342</v>
      </c>
      <c r="N255" s="3">
        <f t="shared" si="10"/>
        <v>-0.176453828</v>
      </c>
    </row>
    <row r="256" ht="14.25" customHeight="1">
      <c r="A256" s="3">
        <v>25.3</v>
      </c>
      <c r="B256" s="3">
        <v>222.3</v>
      </c>
      <c r="C256" s="3">
        <v>5.01</v>
      </c>
      <c r="E256" s="3">
        <f t="shared" si="1"/>
        <v>640.09</v>
      </c>
      <c r="F256" s="3">
        <f t="shared" si="2"/>
        <v>5624.19</v>
      </c>
      <c r="G256" s="3">
        <f t="shared" si="3"/>
        <v>221.0674676</v>
      </c>
      <c r="H256" s="3">
        <f t="shared" si="4"/>
        <v>1.007964112</v>
      </c>
      <c r="I256" s="3">
        <f t="shared" si="5"/>
        <v>8.85653842</v>
      </c>
      <c r="J256" s="3">
        <f t="shared" si="6"/>
        <v>25.50149203</v>
      </c>
      <c r="K256" s="3">
        <f t="shared" si="7"/>
        <v>224.070422</v>
      </c>
      <c r="L256" s="3">
        <f t="shared" si="8"/>
        <v>0.03984047872</v>
      </c>
      <c r="M256" s="3">
        <f t="shared" si="9"/>
        <v>0.06052311336</v>
      </c>
      <c r="N256" s="3">
        <f t="shared" si="10"/>
        <v>0.2460144576</v>
      </c>
    </row>
    <row r="257" ht="14.25" customHeight="1">
      <c r="A257" s="3">
        <v>25.4</v>
      </c>
      <c r="B257" s="3">
        <v>221.74</v>
      </c>
      <c r="C257" s="3">
        <v>4.8</v>
      </c>
      <c r="E257" s="3">
        <f t="shared" si="1"/>
        <v>645.16</v>
      </c>
      <c r="F257" s="3">
        <f t="shared" si="2"/>
        <v>5632.196</v>
      </c>
      <c r="G257" s="3">
        <f t="shared" si="3"/>
        <v>221.928524</v>
      </c>
      <c r="H257" s="3">
        <f t="shared" si="4"/>
        <v>1.102430556</v>
      </c>
      <c r="I257" s="3">
        <f t="shared" si="5"/>
        <v>9.624131944</v>
      </c>
      <c r="J257" s="3">
        <f t="shared" si="6"/>
        <v>28.00173611</v>
      </c>
      <c r="K257" s="3">
        <f t="shared" si="7"/>
        <v>244.4529514</v>
      </c>
      <c r="L257" s="3">
        <f t="shared" si="8"/>
        <v>0.04340277778</v>
      </c>
      <c r="M257" s="3">
        <f t="shared" si="9"/>
        <v>0.001542591823</v>
      </c>
      <c r="N257" s="3">
        <f t="shared" si="10"/>
        <v>-0.03927584274</v>
      </c>
    </row>
    <row r="258" ht="14.25" customHeight="1">
      <c r="A258" s="3">
        <v>25.5</v>
      </c>
      <c r="B258" s="3">
        <v>224.0</v>
      </c>
      <c r="C258" s="3">
        <v>5.41</v>
      </c>
      <c r="E258" s="3">
        <f t="shared" si="1"/>
        <v>650.25</v>
      </c>
      <c r="F258" s="3">
        <f t="shared" si="2"/>
        <v>5712</v>
      </c>
      <c r="G258" s="3">
        <f t="shared" si="3"/>
        <v>222.7895805</v>
      </c>
      <c r="H258" s="3">
        <f t="shared" si="4"/>
        <v>0.8712557358</v>
      </c>
      <c r="I258" s="3">
        <f t="shared" si="5"/>
        <v>7.653383718</v>
      </c>
      <c r="J258" s="3">
        <f t="shared" si="6"/>
        <v>22.21702126</v>
      </c>
      <c r="K258" s="3">
        <f t="shared" si="7"/>
        <v>195.1612848</v>
      </c>
      <c r="L258" s="3">
        <f t="shared" si="8"/>
        <v>0.0341668916</v>
      </c>
      <c r="M258" s="3">
        <f t="shared" si="9"/>
        <v>0.05005843598</v>
      </c>
      <c r="N258" s="3">
        <f t="shared" si="10"/>
        <v>0.2237374264</v>
      </c>
    </row>
    <row r="259" ht="14.25" customHeight="1">
      <c r="A259" s="3">
        <v>25.6</v>
      </c>
      <c r="B259" s="3">
        <v>226.5</v>
      </c>
      <c r="C259" s="3">
        <v>2.7</v>
      </c>
      <c r="E259" s="3">
        <f t="shared" si="1"/>
        <v>655.36</v>
      </c>
      <c r="F259" s="3">
        <f t="shared" si="2"/>
        <v>5798.4</v>
      </c>
      <c r="G259" s="3">
        <f t="shared" si="3"/>
        <v>223.650637</v>
      </c>
      <c r="H259" s="3">
        <f t="shared" si="4"/>
        <v>3.511659808</v>
      </c>
      <c r="I259" s="3">
        <f t="shared" si="5"/>
        <v>31.06995885</v>
      </c>
      <c r="J259" s="3">
        <f t="shared" si="6"/>
        <v>89.89849108</v>
      </c>
      <c r="K259" s="3">
        <f t="shared" si="7"/>
        <v>795.3909465</v>
      </c>
      <c r="L259" s="3">
        <f t="shared" si="8"/>
        <v>0.1371742112</v>
      </c>
      <c r="M259" s="3">
        <f t="shared" si="9"/>
        <v>1.11369952</v>
      </c>
      <c r="N259" s="3">
        <f t="shared" si="10"/>
        <v>1.055319629</v>
      </c>
    </row>
    <row r="260" ht="14.25" customHeight="1">
      <c r="A260" s="3">
        <v>25.7</v>
      </c>
      <c r="B260" s="3">
        <v>223.94</v>
      </c>
      <c r="C260" s="3">
        <v>5.84</v>
      </c>
      <c r="E260" s="3">
        <f t="shared" si="1"/>
        <v>660.49</v>
      </c>
      <c r="F260" s="3">
        <f t="shared" si="2"/>
        <v>5755.258</v>
      </c>
      <c r="G260" s="3">
        <f t="shared" si="3"/>
        <v>224.5116935</v>
      </c>
      <c r="H260" s="3">
        <f t="shared" si="4"/>
        <v>0.7535419403</v>
      </c>
      <c r="I260" s="3">
        <f t="shared" si="5"/>
        <v>6.566077125</v>
      </c>
      <c r="J260" s="3">
        <f t="shared" si="6"/>
        <v>19.36602787</v>
      </c>
      <c r="K260" s="3">
        <f t="shared" si="7"/>
        <v>168.7481821</v>
      </c>
      <c r="L260" s="3">
        <f t="shared" si="8"/>
        <v>0.02932069807</v>
      </c>
      <c r="M260" s="3">
        <f t="shared" si="9"/>
        <v>0.009582984427</v>
      </c>
      <c r="N260" s="3">
        <f t="shared" si="10"/>
        <v>-0.09789271897</v>
      </c>
    </row>
    <row r="261" ht="14.25" customHeight="1">
      <c r="A261" s="3">
        <v>25.8</v>
      </c>
      <c r="B261" s="3">
        <v>220.78</v>
      </c>
      <c r="C261" s="3">
        <v>4.88</v>
      </c>
      <c r="E261" s="3">
        <f t="shared" si="1"/>
        <v>665.64</v>
      </c>
      <c r="F261" s="3">
        <f t="shared" si="2"/>
        <v>5696.124</v>
      </c>
      <c r="G261" s="3">
        <f t="shared" si="3"/>
        <v>225.37275</v>
      </c>
      <c r="H261" s="3">
        <f t="shared" si="4"/>
        <v>1.083378124</v>
      </c>
      <c r="I261" s="3">
        <f t="shared" si="5"/>
        <v>9.270861328</v>
      </c>
      <c r="J261" s="3">
        <f t="shared" si="6"/>
        <v>27.9511556</v>
      </c>
      <c r="K261" s="3">
        <f t="shared" si="7"/>
        <v>239.1882223</v>
      </c>
      <c r="L261" s="3">
        <f t="shared" si="8"/>
        <v>0.04199140016</v>
      </c>
      <c r="M261" s="3">
        <f t="shared" si="9"/>
        <v>0.8857393915</v>
      </c>
      <c r="N261" s="3">
        <f t="shared" si="10"/>
        <v>-0.9411372862</v>
      </c>
    </row>
    <row r="262" ht="14.25" customHeight="1">
      <c r="A262" s="3">
        <v>25.9</v>
      </c>
      <c r="B262" s="3">
        <v>229.15</v>
      </c>
      <c r="C262" s="3">
        <v>3.72</v>
      </c>
      <c r="E262" s="3">
        <f t="shared" si="1"/>
        <v>670.81</v>
      </c>
      <c r="F262" s="3">
        <f t="shared" si="2"/>
        <v>5934.985</v>
      </c>
      <c r="G262" s="3">
        <f t="shared" si="3"/>
        <v>226.2338064</v>
      </c>
      <c r="H262" s="3">
        <f t="shared" si="4"/>
        <v>1.871603654</v>
      </c>
      <c r="I262" s="3">
        <f t="shared" si="5"/>
        <v>16.55899526</v>
      </c>
      <c r="J262" s="3">
        <f t="shared" si="6"/>
        <v>48.47453463</v>
      </c>
      <c r="K262" s="3">
        <f t="shared" si="7"/>
        <v>428.8779772</v>
      </c>
      <c r="L262" s="3">
        <f t="shared" si="8"/>
        <v>0.07226268933</v>
      </c>
      <c r="M262" s="3">
        <f t="shared" si="9"/>
        <v>0.6145352723</v>
      </c>
      <c r="N262" s="3">
        <f t="shared" si="10"/>
        <v>0.7839230015</v>
      </c>
    </row>
    <row r="263" ht="14.25" customHeight="1">
      <c r="A263" s="3">
        <v>26.0</v>
      </c>
      <c r="B263" s="3">
        <v>235.23</v>
      </c>
      <c r="C263" s="3">
        <v>5.63</v>
      </c>
      <c r="E263" s="3">
        <f t="shared" si="1"/>
        <v>676</v>
      </c>
      <c r="F263" s="3">
        <f t="shared" si="2"/>
        <v>6115.98</v>
      </c>
      <c r="G263" s="3">
        <f t="shared" si="3"/>
        <v>227.0948629</v>
      </c>
      <c r="H263" s="3">
        <f t="shared" si="4"/>
        <v>0.8202694901</v>
      </c>
      <c r="I263" s="3">
        <f t="shared" si="5"/>
        <v>7.421230467</v>
      </c>
      <c r="J263" s="3">
        <f t="shared" si="6"/>
        <v>21.32700674</v>
      </c>
      <c r="K263" s="3">
        <f t="shared" si="7"/>
        <v>192.9519922</v>
      </c>
      <c r="L263" s="3">
        <f t="shared" si="8"/>
        <v>0.03154882654</v>
      </c>
      <c r="M263" s="3">
        <f t="shared" si="9"/>
        <v>2.087915709</v>
      </c>
      <c r="N263" s="3">
        <f t="shared" si="10"/>
        <v>1.444962183</v>
      </c>
    </row>
    <row r="264" ht="14.25" customHeight="1">
      <c r="A264" s="3">
        <v>26.1</v>
      </c>
      <c r="B264" s="3">
        <v>230.0</v>
      </c>
      <c r="C264" s="3">
        <v>2.53</v>
      </c>
      <c r="E264" s="3">
        <f t="shared" si="1"/>
        <v>681.21</v>
      </c>
      <c r="F264" s="3">
        <f t="shared" si="2"/>
        <v>6003</v>
      </c>
      <c r="G264" s="3">
        <f t="shared" si="3"/>
        <v>227.9559194</v>
      </c>
      <c r="H264" s="3">
        <f t="shared" si="4"/>
        <v>4.077551594</v>
      </c>
      <c r="I264" s="3">
        <f t="shared" si="5"/>
        <v>35.932447</v>
      </c>
      <c r="J264" s="3">
        <f t="shared" si="6"/>
        <v>106.4240966</v>
      </c>
      <c r="K264" s="3">
        <f t="shared" si="7"/>
        <v>937.8368667</v>
      </c>
      <c r="L264" s="3">
        <f t="shared" si="8"/>
        <v>0.1562280304</v>
      </c>
      <c r="M264" s="3">
        <f t="shared" si="9"/>
        <v>0.6527621958</v>
      </c>
      <c r="N264" s="3">
        <f t="shared" si="10"/>
        <v>0.8079369999</v>
      </c>
    </row>
    <row r="265" ht="14.25" customHeight="1">
      <c r="A265" s="3">
        <v>26.2</v>
      </c>
      <c r="B265" s="3">
        <v>228.18</v>
      </c>
      <c r="C265" s="3">
        <v>3.04</v>
      </c>
      <c r="E265" s="3">
        <f t="shared" si="1"/>
        <v>686.44</v>
      </c>
      <c r="F265" s="3">
        <f t="shared" si="2"/>
        <v>5978.316</v>
      </c>
      <c r="G265" s="3">
        <f t="shared" si="3"/>
        <v>228.8169759</v>
      </c>
      <c r="H265" s="3">
        <f t="shared" si="4"/>
        <v>2.835006925</v>
      </c>
      <c r="I265" s="3">
        <f t="shared" si="5"/>
        <v>24.69052978</v>
      </c>
      <c r="J265" s="3">
        <f t="shared" si="6"/>
        <v>74.27718144</v>
      </c>
      <c r="K265" s="3">
        <f t="shared" si="7"/>
        <v>646.8918802</v>
      </c>
      <c r="L265" s="3">
        <f t="shared" si="8"/>
        <v>0.1082063712</v>
      </c>
      <c r="M265" s="3">
        <f t="shared" si="9"/>
        <v>0.04390346439</v>
      </c>
      <c r="N265" s="3">
        <f t="shared" si="10"/>
        <v>-0.2095315356</v>
      </c>
    </row>
    <row r="266" ht="14.25" customHeight="1">
      <c r="A266" s="3">
        <v>26.3</v>
      </c>
      <c r="B266" s="3">
        <v>233.48</v>
      </c>
      <c r="C266" s="3">
        <v>5.39</v>
      </c>
      <c r="E266" s="3">
        <f t="shared" si="1"/>
        <v>691.69</v>
      </c>
      <c r="F266" s="3">
        <f t="shared" si="2"/>
        <v>6140.524</v>
      </c>
      <c r="G266" s="3">
        <f t="shared" si="3"/>
        <v>229.6780323</v>
      </c>
      <c r="H266" s="3">
        <f t="shared" si="4"/>
        <v>0.905270187</v>
      </c>
      <c r="I266" s="3">
        <f t="shared" si="5"/>
        <v>8.036596322</v>
      </c>
      <c r="J266" s="3">
        <f t="shared" si="6"/>
        <v>23.80860592</v>
      </c>
      <c r="K266" s="3">
        <f t="shared" si="7"/>
        <v>211.3624833</v>
      </c>
      <c r="L266" s="3">
        <f t="shared" si="8"/>
        <v>0.03442091966</v>
      </c>
      <c r="M266" s="3">
        <f t="shared" si="9"/>
        <v>0.4975529494</v>
      </c>
      <c r="N266" s="3">
        <f t="shared" si="10"/>
        <v>0.7053743329</v>
      </c>
    </row>
    <row r="267" ht="14.25" customHeight="1">
      <c r="A267" s="3">
        <v>26.4</v>
      </c>
      <c r="B267" s="3">
        <v>233.76</v>
      </c>
      <c r="C267" s="3">
        <v>3.07</v>
      </c>
      <c r="E267" s="3">
        <f t="shared" si="1"/>
        <v>696.96</v>
      </c>
      <c r="F267" s="3">
        <f t="shared" si="2"/>
        <v>6171.264</v>
      </c>
      <c r="G267" s="3">
        <f t="shared" si="3"/>
        <v>230.5390888</v>
      </c>
      <c r="H267" s="3">
        <f t="shared" si="4"/>
        <v>2.801090728</v>
      </c>
      <c r="I267" s="3">
        <f t="shared" si="5"/>
        <v>24.80238517</v>
      </c>
      <c r="J267" s="3">
        <f t="shared" si="6"/>
        <v>73.94879521</v>
      </c>
      <c r="K267" s="3">
        <f t="shared" si="7"/>
        <v>654.7829685</v>
      </c>
      <c r="L267" s="3">
        <f t="shared" si="8"/>
        <v>0.1061019215</v>
      </c>
      <c r="M267" s="3">
        <f t="shared" si="9"/>
        <v>1.100729854</v>
      </c>
      <c r="N267" s="3">
        <f t="shared" si="10"/>
        <v>1.049156735</v>
      </c>
    </row>
    <row r="268" ht="14.25" customHeight="1">
      <c r="A268" s="3">
        <v>26.5</v>
      </c>
      <c r="B268" s="3">
        <v>231.8</v>
      </c>
      <c r="C268" s="3">
        <v>4.14</v>
      </c>
      <c r="E268" s="3">
        <f t="shared" si="1"/>
        <v>702.25</v>
      </c>
      <c r="F268" s="3">
        <f t="shared" si="2"/>
        <v>6142.7</v>
      </c>
      <c r="G268" s="3">
        <f t="shared" si="3"/>
        <v>231.4001453</v>
      </c>
      <c r="H268" s="3">
        <f t="shared" si="4"/>
        <v>1.546127097</v>
      </c>
      <c r="I268" s="3">
        <f t="shared" si="5"/>
        <v>13.52423627</v>
      </c>
      <c r="J268" s="3">
        <f t="shared" si="6"/>
        <v>40.97236808</v>
      </c>
      <c r="K268" s="3">
        <f t="shared" si="7"/>
        <v>358.3922612</v>
      </c>
      <c r="L268" s="3">
        <f t="shared" si="8"/>
        <v>0.05834441877</v>
      </c>
      <c r="M268" s="3">
        <f t="shared" si="9"/>
        <v>0.009328326203</v>
      </c>
      <c r="N268" s="3">
        <f t="shared" si="10"/>
        <v>0.09658326047</v>
      </c>
    </row>
    <row r="269" ht="14.25" customHeight="1">
      <c r="A269" s="3">
        <v>26.6</v>
      </c>
      <c r="B269" s="3">
        <v>230.3</v>
      </c>
      <c r="C269" s="3">
        <v>2.71</v>
      </c>
      <c r="E269" s="3">
        <f t="shared" si="1"/>
        <v>707.56</v>
      </c>
      <c r="F269" s="3">
        <f t="shared" si="2"/>
        <v>6125.98</v>
      </c>
      <c r="G269" s="3">
        <f t="shared" si="3"/>
        <v>232.2612018</v>
      </c>
      <c r="H269" s="3">
        <f t="shared" si="4"/>
        <v>3.621955039</v>
      </c>
      <c r="I269" s="3">
        <f t="shared" si="5"/>
        <v>31.35850547</v>
      </c>
      <c r="J269" s="3">
        <f t="shared" si="6"/>
        <v>96.34400403</v>
      </c>
      <c r="K269" s="3">
        <f t="shared" si="7"/>
        <v>834.1362454</v>
      </c>
      <c r="L269" s="3">
        <f t="shared" si="8"/>
        <v>0.1361637233</v>
      </c>
      <c r="M269" s="3">
        <f t="shared" si="9"/>
        <v>0.5237282199</v>
      </c>
      <c r="N269" s="3">
        <f t="shared" si="10"/>
        <v>-0.7236906936</v>
      </c>
    </row>
    <row r="270" ht="14.25" customHeight="1">
      <c r="A270" s="3">
        <v>26.7</v>
      </c>
      <c r="B270" s="3">
        <v>239.24</v>
      </c>
      <c r="C270" s="3">
        <v>5.87</v>
      </c>
      <c r="E270" s="3">
        <f t="shared" si="1"/>
        <v>712.89</v>
      </c>
      <c r="F270" s="3">
        <f t="shared" si="2"/>
        <v>6387.708</v>
      </c>
      <c r="G270" s="3">
        <f t="shared" si="3"/>
        <v>233.1222583</v>
      </c>
      <c r="H270" s="3">
        <f t="shared" si="4"/>
        <v>0.7748810833</v>
      </c>
      <c r="I270" s="3">
        <f t="shared" si="5"/>
        <v>6.943166681</v>
      </c>
      <c r="J270" s="3">
        <f t="shared" si="6"/>
        <v>20.68932492</v>
      </c>
      <c r="K270" s="3">
        <f t="shared" si="7"/>
        <v>185.3825504</v>
      </c>
      <c r="L270" s="3">
        <f t="shared" si="8"/>
        <v>0.02902176342</v>
      </c>
      <c r="M270" s="3">
        <f t="shared" si="9"/>
        <v>1.086190691</v>
      </c>
      <c r="N270" s="3">
        <f t="shared" si="10"/>
        <v>1.042204726</v>
      </c>
    </row>
    <row r="271" ht="14.25" customHeight="1">
      <c r="A271" s="3">
        <v>26.8</v>
      </c>
      <c r="B271" s="3">
        <v>228.58</v>
      </c>
      <c r="C271" s="3">
        <v>6.74</v>
      </c>
      <c r="E271" s="3">
        <f t="shared" si="1"/>
        <v>718.24</v>
      </c>
      <c r="F271" s="3">
        <f t="shared" si="2"/>
        <v>6125.944</v>
      </c>
      <c r="G271" s="3">
        <f t="shared" si="3"/>
        <v>233.9833147</v>
      </c>
      <c r="H271" s="3">
        <f t="shared" si="4"/>
        <v>0.5899497222</v>
      </c>
      <c r="I271" s="3">
        <f t="shared" si="5"/>
        <v>5.031742817</v>
      </c>
      <c r="J271" s="3">
        <f t="shared" si="6"/>
        <v>15.81065255</v>
      </c>
      <c r="K271" s="3">
        <f t="shared" si="7"/>
        <v>134.8507075</v>
      </c>
      <c r="L271" s="3">
        <f t="shared" si="8"/>
        <v>0.02201304934</v>
      </c>
      <c r="M271" s="3">
        <f t="shared" si="9"/>
        <v>0.6426888087</v>
      </c>
      <c r="N271" s="3">
        <f t="shared" si="10"/>
        <v>-0.8016787441</v>
      </c>
    </row>
    <row r="272" ht="14.25" customHeight="1">
      <c r="A272" s="3">
        <v>26.9</v>
      </c>
      <c r="B272" s="3">
        <v>242.25</v>
      </c>
      <c r="C272" s="3">
        <v>6.84</v>
      </c>
      <c r="E272" s="3">
        <f t="shared" si="1"/>
        <v>723.61</v>
      </c>
      <c r="F272" s="3">
        <f t="shared" si="2"/>
        <v>6516.525</v>
      </c>
      <c r="G272" s="3">
        <f t="shared" si="3"/>
        <v>234.8443712</v>
      </c>
      <c r="H272" s="3">
        <f t="shared" si="4"/>
        <v>0.5749632366</v>
      </c>
      <c r="I272" s="3">
        <f t="shared" si="5"/>
        <v>5.177875244</v>
      </c>
      <c r="J272" s="3">
        <f t="shared" si="6"/>
        <v>15.46651106</v>
      </c>
      <c r="K272" s="3">
        <f t="shared" si="7"/>
        <v>139.2848441</v>
      </c>
      <c r="L272" s="3">
        <f t="shared" si="8"/>
        <v>0.02137409801</v>
      </c>
      <c r="M272" s="3">
        <f t="shared" si="9"/>
        <v>1.172226876</v>
      </c>
      <c r="N272" s="3">
        <f t="shared" si="10"/>
        <v>1.082694267</v>
      </c>
    </row>
    <row r="273" ht="14.25" customHeight="1">
      <c r="A273" s="3">
        <v>27.0</v>
      </c>
      <c r="B273" s="3">
        <v>237.29</v>
      </c>
      <c r="C273" s="3">
        <v>2.43</v>
      </c>
      <c r="E273" s="3">
        <f t="shared" si="1"/>
        <v>729</v>
      </c>
      <c r="F273" s="3">
        <f t="shared" si="2"/>
        <v>6406.83</v>
      </c>
      <c r="G273" s="3">
        <f t="shared" si="3"/>
        <v>235.7054277</v>
      </c>
      <c r="H273" s="3">
        <f t="shared" si="4"/>
        <v>4.572473708</v>
      </c>
      <c r="I273" s="3">
        <f t="shared" si="5"/>
        <v>40.18526986</v>
      </c>
      <c r="J273" s="3">
        <f t="shared" si="6"/>
        <v>123.4567901</v>
      </c>
      <c r="K273" s="3">
        <f t="shared" si="7"/>
        <v>1085.002286</v>
      </c>
      <c r="L273" s="3">
        <f t="shared" si="8"/>
        <v>0.1693508781</v>
      </c>
      <c r="M273" s="3">
        <f t="shared" si="9"/>
        <v>0.4252179381</v>
      </c>
      <c r="N273" s="3">
        <f t="shared" si="10"/>
        <v>0.65208737</v>
      </c>
    </row>
    <row r="274" ht="14.25" customHeight="1">
      <c r="A274" s="3">
        <v>27.1</v>
      </c>
      <c r="B274" s="3">
        <v>238.56</v>
      </c>
      <c r="C274" s="3">
        <v>6.42</v>
      </c>
      <c r="E274" s="3">
        <f t="shared" si="1"/>
        <v>734.41</v>
      </c>
      <c r="F274" s="3">
        <f t="shared" si="2"/>
        <v>6464.976</v>
      </c>
      <c r="G274" s="3">
        <f t="shared" si="3"/>
        <v>236.5664842</v>
      </c>
      <c r="H274" s="3">
        <f t="shared" si="4"/>
        <v>0.6575052649</v>
      </c>
      <c r="I274" s="3">
        <f t="shared" si="5"/>
        <v>5.787987306</v>
      </c>
      <c r="J274" s="3">
        <f t="shared" si="6"/>
        <v>17.81839268</v>
      </c>
      <c r="K274" s="3">
        <f t="shared" si="7"/>
        <v>156.854456</v>
      </c>
      <c r="L274" s="3">
        <f t="shared" si="8"/>
        <v>0.0242621869</v>
      </c>
      <c r="M274" s="3">
        <f t="shared" si="9"/>
        <v>0.09642048721</v>
      </c>
      <c r="N274" s="3">
        <f t="shared" si="10"/>
        <v>0.3105164846</v>
      </c>
    </row>
    <row r="275" ht="14.25" customHeight="1">
      <c r="A275" s="3">
        <v>27.2</v>
      </c>
      <c r="B275" s="3">
        <v>237.67</v>
      </c>
      <c r="C275" s="3">
        <v>2.63</v>
      </c>
      <c r="E275" s="3">
        <f t="shared" si="1"/>
        <v>739.84</v>
      </c>
      <c r="F275" s="3">
        <f t="shared" si="2"/>
        <v>6464.624</v>
      </c>
      <c r="G275" s="3">
        <f t="shared" si="3"/>
        <v>237.4275406</v>
      </c>
      <c r="H275" s="3">
        <f t="shared" si="4"/>
        <v>3.932397461</v>
      </c>
      <c r="I275" s="3">
        <f t="shared" si="5"/>
        <v>34.36076855</v>
      </c>
      <c r="J275" s="3">
        <f t="shared" si="6"/>
        <v>106.9612109</v>
      </c>
      <c r="K275" s="3">
        <f t="shared" si="7"/>
        <v>934.6129046</v>
      </c>
      <c r="L275" s="3">
        <f t="shared" si="8"/>
        <v>0.1445734361</v>
      </c>
      <c r="M275" s="3">
        <f t="shared" si="9"/>
        <v>0.008498971794</v>
      </c>
      <c r="N275" s="3">
        <f t="shared" si="10"/>
        <v>0.09218986817</v>
      </c>
    </row>
    <row r="276" ht="14.25" customHeight="1">
      <c r="A276" s="3">
        <v>27.3</v>
      </c>
      <c r="B276" s="3">
        <v>231.53</v>
      </c>
      <c r="C276" s="3">
        <v>4.63</v>
      </c>
      <c r="E276" s="3">
        <f t="shared" si="1"/>
        <v>745.29</v>
      </c>
      <c r="F276" s="3">
        <f t="shared" si="2"/>
        <v>6320.769</v>
      </c>
      <c r="G276" s="3">
        <f t="shared" si="3"/>
        <v>238.2885971</v>
      </c>
      <c r="H276" s="3">
        <f t="shared" si="4"/>
        <v>1.273505031</v>
      </c>
      <c r="I276" s="3">
        <f t="shared" si="5"/>
        <v>10.80053553</v>
      </c>
      <c r="J276" s="3">
        <f t="shared" si="6"/>
        <v>34.76668735</v>
      </c>
      <c r="K276" s="3">
        <f t="shared" si="7"/>
        <v>294.8546198</v>
      </c>
      <c r="L276" s="3">
        <f t="shared" si="8"/>
        <v>0.04664853594</v>
      </c>
      <c r="M276" s="3">
        <f t="shared" si="9"/>
        <v>2.130841451</v>
      </c>
      <c r="N276" s="3">
        <f t="shared" si="10"/>
        <v>-1.4597402</v>
      </c>
    </row>
    <row r="277" ht="14.25" customHeight="1">
      <c r="A277" s="3">
        <v>27.4</v>
      </c>
      <c r="B277" s="3">
        <v>235.01</v>
      </c>
      <c r="C277" s="3">
        <v>7.13</v>
      </c>
      <c r="E277" s="3">
        <f t="shared" si="1"/>
        <v>750.76</v>
      </c>
      <c r="F277" s="3">
        <f t="shared" si="2"/>
        <v>6439.274</v>
      </c>
      <c r="G277" s="3">
        <f t="shared" si="3"/>
        <v>239.1496536</v>
      </c>
      <c r="H277" s="3">
        <f t="shared" si="4"/>
        <v>0.5389785766</v>
      </c>
      <c r="I277" s="3">
        <f t="shared" si="5"/>
        <v>4.622823186</v>
      </c>
      <c r="J277" s="3">
        <f t="shared" si="6"/>
        <v>14.768013</v>
      </c>
      <c r="K277" s="3">
        <f t="shared" si="7"/>
        <v>126.6653553</v>
      </c>
      <c r="L277" s="3">
        <f t="shared" si="8"/>
        <v>0.01967075097</v>
      </c>
      <c r="M277" s="3">
        <f t="shared" si="9"/>
        <v>0.3370923866</v>
      </c>
      <c r="N277" s="3">
        <f t="shared" si="10"/>
        <v>-0.5805965782</v>
      </c>
    </row>
    <row r="278" ht="14.25" customHeight="1">
      <c r="A278" s="3">
        <v>27.5</v>
      </c>
      <c r="B278" s="3">
        <v>242.12</v>
      </c>
      <c r="C278" s="3">
        <v>7.17</v>
      </c>
      <c r="E278" s="3">
        <f t="shared" si="1"/>
        <v>756.25</v>
      </c>
      <c r="F278" s="3">
        <f t="shared" si="2"/>
        <v>6658.3</v>
      </c>
      <c r="G278" s="3">
        <f t="shared" si="3"/>
        <v>240.0107101</v>
      </c>
      <c r="H278" s="3">
        <f t="shared" si="4"/>
        <v>0.5349268317</v>
      </c>
      <c r="I278" s="3">
        <f t="shared" si="5"/>
        <v>4.709690345</v>
      </c>
      <c r="J278" s="3">
        <f t="shared" si="6"/>
        <v>14.71048787</v>
      </c>
      <c r="K278" s="3">
        <f t="shared" si="7"/>
        <v>129.5164845</v>
      </c>
      <c r="L278" s="3">
        <f t="shared" si="8"/>
        <v>0.01945188479</v>
      </c>
      <c r="M278" s="3">
        <f t="shared" si="9"/>
        <v>0.08654345776</v>
      </c>
      <c r="N278" s="3">
        <f t="shared" si="10"/>
        <v>0.2941826945</v>
      </c>
    </row>
    <row r="279" ht="14.25" customHeight="1">
      <c r="A279" s="3">
        <v>27.6</v>
      </c>
      <c r="B279" s="3">
        <v>237.16</v>
      </c>
      <c r="C279" s="3">
        <v>7.07</v>
      </c>
      <c r="E279" s="3">
        <f t="shared" si="1"/>
        <v>761.76</v>
      </c>
      <c r="F279" s="3">
        <f t="shared" si="2"/>
        <v>6545.616</v>
      </c>
      <c r="G279" s="3">
        <f t="shared" si="3"/>
        <v>240.8717666</v>
      </c>
      <c r="H279" s="3">
        <f t="shared" si="4"/>
        <v>0.5521667544</v>
      </c>
      <c r="I279" s="3">
        <f t="shared" si="5"/>
        <v>4.744632879</v>
      </c>
      <c r="J279" s="3">
        <f t="shared" si="6"/>
        <v>15.23980242</v>
      </c>
      <c r="K279" s="3">
        <f t="shared" si="7"/>
        <v>130.9518675</v>
      </c>
      <c r="L279" s="3">
        <f t="shared" si="8"/>
        <v>0.02000604182</v>
      </c>
      <c r="M279" s="3">
        <f t="shared" si="9"/>
        <v>0.2756274591</v>
      </c>
      <c r="N279" s="3">
        <f t="shared" si="10"/>
        <v>-0.525002342</v>
      </c>
    </row>
    <row r="280" ht="14.25" customHeight="1">
      <c r="A280" s="3">
        <v>27.7</v>
      </c>
      <c r="B280" s="3">
        <v>241.33</v>
      </c>
      <c r="C280" s="3">
        <v>2.45</v>
      </c>
      <c r="E280" s="3">
        <f t="shared" si="1"/>
        <v>767.29</v>
      </c>
      <c r="F280" s="3">
        <f t="shared" si="2"/>
        <v>6684.841</v>
      </c>
      <c r="G280" s="3">
        <f t="shared" si="3"/>
        <v>241.732823</v>
      </c>
      <c r="H280" s="3">
        <f t="shared" si="4"/>
        <v>4.614743857</v>
      </c>
      <c r="I280" s="3">
        <f t="shared" si="5"/>
        <v>40.20491462</v>
      </c>
      <c r="J280" s="3">
        <f t="shared" si="6"/>
        <v>127.8284048</v>
      </c>
      <c r="K280" s="3">
        <f t="shared" si="7"/>
        <v>1113.676135</v>
      </c>
      <c r="L280" s="3">
        <f t="shared" si="8"/>
        <v>0.1665972511</v>
      </c>
      <c r="M280" s="3">
        <f t="shared" si="9"/>
        <v>0.02703313592</v>
      </c>
      <c r="N280" s="3">
        <f t="shared" si="10"/>
        <v>-0.1644175657</v>
      </c>
    </row>
    <row r="281" ht="14.25" customHeight="1">
      <c r="A281" s="3">
        <v>27.8</v>
      </c>
      <c r="B281" s="3">
        <v>244.72</v>
      </c>
      <c r="C281" s="3">
        <v>6.88</v>
      </c>
      <c r="E281" s="3">
        <f t="shared" si="1"/>
        <v>772.84</v>
      </c>
      <c r="F281" s="3">
        <f t="shared" si="2"/>
        <v>6803.216</v>
      </c>
      <c r="G281" s="3">
        <f t="shared" si="3"/>
        <v>242.5938795</v>
      </c>
      <c r="H281" s="3">
        <f t="shared" si="4"/>
        <v>0.5873107085</v>
      </c>
      <c r="I281" s="3">
        <f t="shared" si="5"/>
        <v>5.170024337</v>
      </c>
      <c r="J281" s="3">
        <f t="shared" si="6"/>
        <v>16.3272377</v>
      </c>
      <c r="K281" s="3">
        <f t="shared" si="7"/>
        <v>143.7266766</v>
      </c>
      <c r="L281" s="3">
        <f t="shared" si="8"/>
        <v>0.02112628448</v>
      </c>
      <c r="M281" s="3">
        <f t="shared" si="9"/>
        <v>0.09549900963</v>
      </c>
      <c r="N281" s="3">
        <f t="shared" si="10"/>
        <v>0.3090291404</v>
      </c>
    </row>
    <row r="282" ht="14.25" customHeight="1">
      <c r="A282" s="3">
        <v>27.9</v>
      </c>
      <c r="B282" s="3">
        <v>237.49</v>
      </c>
      <c r="C282" s="3">
        <v>4.24</v>
      </c>
      <c r="E282" s="3">
        <f t="shared" si="1"/>
        <v>778.41</v>
      </c>
      <c r="F282" s="3">
        <f t="shared" si="2"/>
        <v>6625.971</v>
      </c>
      <c r="G282" s="3">
        <f t="shared" si="3"/>
        <v>243.454936</v>
      </c>
      <c r="H282" s="3">
        <f t="shared" si="4"/>
        <v>1.551931292</v>
      </c>
      <c r="I282" s="3">
        <f t="shared" si="5"/>
        <v>13.21032841</v>
      </c>
      <c r="J282" s="3">
        <f t="shared" si="6"/>
        <v>43.29888305</v>
      </c>
      <c r="K282" s="3">
        <f t="shared" si="7"/>
        <v>368.5681626</v>
      </c>
      <c r="L282" s="3">
        <f t="shared" si="8"/>
        <v>0.0556247775</v>
      </c>
      <c r="M282" s="3">
        <f t="shared" si="9"/>
        <v>1.979155248</v>
      </c>
      <c r="N282" s="3">
        <f t="shared" si="10"/>
        <v>-1.406824526</v>
      </c>
    </row>
    <row r="283" ht="14.25" customHeight="1">
      <c r="A283" s="3">
        <v>28.0</v>
      </c>
      <c r="B283" s="3">
        <v>239.35</v>
      </c>
      <c r="C283" s="3">
        <v>3.91</v>
      </c>
      <c r="E283" s="3">
        <f t="shared" si="1"/>
        <v>784</v>
      </c>
      <c r="F283" s="3">
        <f t="shared" si="2"/>
        <v>6701.8</v>
      </c>
      <c r="G283" s="3">
        <f t="shared" si="3"/>
        <v>244.3159925</v>
      </c>
      <c r="H283" s="3">
        <f t="shared" si="4"/>
        <v>1.831489852</v>
      </c>
      <c r="I283" s="3">
        <f t="shared" si="5"/>
        <v>15.65596771</v>
      </c>
      <c r="J283" s="3">
        <f t="shared" si="6"/>
        <v>51.28171584</v>
      </c>
      <c r="K283" s="3">
        <f t="shared" si="7"/>
        <v>438.367096</v>
      </c>
      <c r="L283" s="3">
        <f t="shared" si="8"/>
        <v>0.06541035184</v>
      </c>
      <c r="M283" s="3">
        <f t="shared" si="9"/>
        <v>1.613089999</v>
      </c>
      <c r="N283" s="3">
        <f t="shared" si="10"/>
        <v>-1.2700748</v>
      </c>
    </row>
    <row r="284" ht="14.25" customHeight="1">
      <c r="A284" s="3">
        <v>28.1</v>
      </c>
      <c r="B284" s="3">
        <v>230.16</v>
      </c>
      <c r="C284" s="3">
        <v>7.32</v>
      </c>
      <c r="E284" s="3">
        <f t="shared" si="1"/>
        <v>789.61</v>
      </c>
      <c r="F284" s="3">
        <f t="shared" si="2"/>
        <v>6467.496</v>
      </c>
      <c r="G284" s="3">
        <f t="shared" si="3"/>
        <v>245.1770489</v>
      </c>
      <c r="H284" s="3">
        <f t="shared" si="4"/>
        <v>0.5244259309</v>
      </c>
      <c r="I284" s="3">
        <f t="shared" si="5"/>
        <v>4.295440294</v>
      </c>
      <c r="J284" s="3">
        <f t="shared" si="6"/>
        <v>14.73636866</v>
      </c>
      <c r="K284" s="3">
        <f t="shared" si="7"/>
        <v>120.7018723</v>
      </c>
      <c r="L284" s="3">
        <f t="shared" si="8"/>
        <v>0.01866284452</v>
      </c>
      <c r="M284" s="3">
        <f t="shared" si="9"/>
        <v>4.208690896</v>
      </c>
      <c r="N284" s="3">
        <f t="shared" si="10"/>
        <v>-2.051509419</v>
      </c>
    </row>
    <row r="285" ht="14.25" customHeight="1">
      <c r="A285" s="3">
        <v>28.2</v>
      </c>
      <c r="B285" s="3">
        <v>238.93</v>
      </c>
      <c r="C285" s="3">
        <v>4.32</v>
      </c>
      <c r="E285" s="3">
        <f t="shared" si="1"/>
        <v>795.24</v>
      </c>
      <c r="F285" s="3">
        <f t="shared" si="2"/>
        <v>6737.826</v>
      </c>
      <c r="G285" s="3">
        <f t="shared" si="3"/>
        <v>246.0381054</v>
      </c>
      <c r="H285" s="3">
        <f t="shared" si="4"/>
        <v>1.511059671</v>
      </c>
      <c r="I285" s="3">
        <f t="shared" si="5"/>
        <v>12.80274777</v>
      </c>
      <c r="J285" s="3">
        <f t="shared" si="6"/>
        <v>42.61188272</v>
      </c>
      <c r="K285" s="3">
        <f t="shared" si="7"/>
        <v>361.0374871</v>
      </c>
      <c r="L285" s="3">
        <f t="shared" si="8"/>
        <v>0.05358367627</v>
      </c>
      <c r="M285" s="3">
        <f t="shared" si="9"/>
        <v>2.707323964</v>
      </c>
      <c r="N285" s="3">
        <f t="shared" si="10"/>
        <v>-1.645394774</v>
      </c>
    </row>
    <row r="286" ht="14.25" customHeight="1">
      <c r="A286" s="3">
        <v>28.3</v>
      </c>
      <c r="B286" s="3">
        <v>242.85</v>
      </c>
      <c r="C286" s="3">
        <v>6.82</v>
      </c>
      <c r="E286" s="3">
        <f t="shared" si="1"/>
        <v>800.89</v>
      </c>
      <c r="F286" s="3">
        <f t="shared" si="2"/>
        <v>6872.655</v>
      </c>
      <c r="G286" s="3">
        <f t="shared" si="3"/>
        <v>246.8991619</v>
      </c>
      <c r="H286" s="3">
        <f t="shared" si="4"/>
        <v>0.6084398999</v>
      </c>
      <c r="I286" s="3">
        <f t="shared" si="5"/>
        <v>5.221188328</v>
      </c>
      <c r="J286" s="3">
        <f t="shared" si="6"/>
        <v>17.21884917</v>
      </c>
      <c r="K286" s="3">
        <f t="shared" si="7"/>
        <v>147.7596297</v>
      </c>
      <c r="L286" s="3">
        <f t="shared" si="8"/>
        <v>0.02149964311</v>
      </c>
      <c r="M286" s="3">
        <f t="shared" si="9"/>
        <v>0.352501959</v>
      </c>
      <c r="N286" s="3">
        <f t="shared" si="10"/>
        <v>-0.5937187541</v>
      </c>
    </row>
    <row r="287" ht="14.25" customHeight="1">
      <c r="A287" s="3">
        <v>28.4</v>
      </c>
      <c r="B287" s="3">
        <v>240.49</v>
      </c>
      <c r="C287" s="3">
        <v>6.43</v>
      </c>
      <c r="E287" s="3">
        <f t="shared" si="1"/>
        <v>806.56</v>
      </c>
      <c r="F287" s="3">
        <f t="shared" si="2"/>
        <v>6829.916</v>
      </c>
      <c r="G287" s="3">
        <f t="shared" si="3"/>
        <v>247.7602184</v>
      </c>
      <c r="H287" s="3">
        <f t="shared" si="4"/>
        <v>0.6869045517</v>
      </c>
      <c r="I287" s="3">
        <f t="shared" si="5"/>
        <v>5.81667872</v>
      </c>
      <c r="J287" s="3">
        <f t="shared" si="6"/>
        <v>19.50808927</v>
      </c>
      <c r="K287" s="3">
        <f t="shared" si="7"/>
        <v>165.1936756</v>
      </c>
      <c r="L287" s="3">
        <f t="shared" si="8"/>
        <v>0.02418677999</v>
      </c>
      <c r="M287" s="3">
        <f t="shared" si="9"/>
        <v>1.278418265</v>
      </c>
      <c r="N287" s="3">
        <f t="shared" si="10"/>
        <v>-1.130671599</v>
      </c>
    </row>
    <row r="288" ht="14.25" customHeight="1">
      <c r="A288" s="3">
        <v>28.5</v>
      </c>
      <c r="B288" s="3">
        <v>254.38</v>
      </c>
      <c r="C288" s="3">
        <v>6.65</v>
      </c>
      <c r="E288" s="3">
        <f t="shared" si="1"/>
        <v>812.25</v>
      </c>
      <c r="F288" s="3">
        <f t="shared" si="2"/>
        <v>7249.83</v>
      </c>
      <c r="G288" s="3">
        <f t="shared" si="3"/>
        <v>248.6212749</v>
      </c>
      <c r="H288" s="3">
        <f t="shared" si="4"/>
        <v>0.6444683136</v>
      </c>
      <c r="I288" s="3">
        <f t="shared" si="5"/>
        <v>5.752275425</v>
      </c>
      <c r="J288" s="3">
        <f t="shared" si="6"/>
        <v>18.36734694</v>
      </c>
      <c r="K288" s="3">
        <f t="shared" si="7"/>
        <v>163.9398496</v>
      </c>
      <c r="L288" s="3">
        <f t="shared" si="8"/>
        <v>0.02261292329</v>
      </c>
      <c r="M288" s="3">
        <f t="shared" si="9"/>
        <v>0.7499104585</v>
      </c>
      <c r="N288" s="3">
        <f t="shared" si="10"/>
        <v>0.8659737054</v>
      </c>
    </row>
    <row r="289" ht="14.25" customHeight="1">
      <c r="A289" s="3">
        <v>28.6</v>
      </c>
      <c r="B289" s="3">
        <v>265.88</v>
      </c>
      <c r="C289" s="3">
        <v>7.18</v>
      </c>
      <c r="E289" s="3">
        <f t="shared" si="1"/>
        <v>817.96</v>
      </c>
      <c r="F289" s="3">
        <f t="shared" si="2"/>
        <v>7604.168</v>
      </c>
      <c r="G289" s="3">
        <f t="shared" si="3"/>
        <v>249.4823313</v>
      </c>
      <c r="H289" s="3">
        <f t="shared" si="4"/>
        <v>0.5547753354</v>
      </c>
      <c r="I289" s="3">
        <f t="shared" si="5"/>
        <v>5.157470845</v>
      </c>
      <c r="J289" s="3">
        <f t="shared" si="6"/>
        <v>15.86657459</v>
      </c>
      <c r="K289" s="3">
        <f t="shared" si="7"/>
        <v>147.5036662</v>
      </c>
      <c r="L289" s="3">
        <f t="shared" si="8"/>
        <v>0.019397739</v>
      </c>
      <c r="M289" s="3">
        <f t="shared" si="9"/>
        <v>5.215732683</v>
      </c>
      <c r="N289" s="3">
        <f t="shared" si="10"/>
        <v>2.283797864</v>
      </c>
    </row>
    <row r="290" ht="14.25" customHeight="1">
      <c r="A290" s="3">
        <v>28.7</v>
      </c>
      <c r="B290" s="3">
        <v>255.41</v>
      </c>
      <c r="C290" s="3">
        <v>4.21</v>
      </c>
      <c r="E290" s="3">
        <f t="shared" si="1"/>
        <v>823.69</v>
      </c>
      <c r="F290" s="3">
        <f t="shared" si="2"/>
        <v>7330.267</v>
      </c>
      <c r="G290" s="3">
        <f t="shared" si="3"/>
        <v>250.3433878</v>
      </c>
      <c r="H290" s="3">
        <f t="shared" si="4"/>
        <v>1.619264166</v>
      </c>
      <c r="I290" s="3">
        <f t="shared" si="5"/>
        <v>14.41032267</v>
      </c>
      <c r="J290" s="3">
        <f t="shared" si="6"/>
        <v>46.47288156</v>
      </c>
      <c r="K290" s="3">
        <f t="shared" si="7"/>
        <v>413.5762606</v>
      </c>
      <c r="L290" s="3">
        <f t="shared" si="8"/>
        <v>0.05642035421</v>
      </c>
      <c r="M290" s="3">
        <f t="shared" si="9"/>
        <v>1.448342034</v>
      </c>
      <c r="N290" s="3">
        <f t="shared" si="10"/>
        <v>1.203470828</v>
      </c>
    </row>
    <row r="291" ht="14.25" customHeight="1">
      <c r="A291" s="3">
        <v>28.8</v>
      </c>
      <c r="B291" s="3">
        <v>248.87</v>
      </c>
      <c r="C291" s="3">
        <v>3.12</v>
      </c>
      <c r="E291" s="3">
        <f t="shared" si="1"/>
        <v>829.44</v>
      </c>
      <c r="F291" s="3">
        <f t="shared" si="2"/>
        <v>7167.456</v>
      </c>
      <c r="G291" s="3">
        <f t="shared" si="3"/>
        <v>251.2044443</v>
      </c>
      <c r="H291" s="3">
        <f t="shared" si="4"/>
        <v>2.958579882</v>
      </c>
      <c r="I291" s="3">
        <f t="shared" si="5"/>
        <v>25.56603386</v>
      </c>
      <c r="J291" s="3">
        <f t="shared" si="6"/>
        <v>85.20710059</v>
      </c>
      <c r="K291" s="3">
        <f t="shared" si="7"/>
        <v>736.3017751</v>
      </c>
      <c r="L291" s="3">
        <f t="shared" si="8"/>
        <v>0.1027284681</v>
      </c>
      <c r="M291" s="3">
        <f t="shared" si="9"/>
        <v>0.5598321576</v>
      </c>
      <c r="N291" s="3">
        <f t="shared" si="10"/>
        <v>-0.7482193245</v>
      </c>
    </row>
    <row r="292" ht="14.25" customHeight="1">
      <c r="A292" s="3">
        <v>28.9</v>
      </c>
      <c r="B292" s="3">
        <v>242.03</v>
      </c>
      <c r="C292" s="3">
        <v>5.44</v>
      </c>
      <c r="E292" s="3">
        <f t="shared" si="1"/>
        <v>835.21</v>
      </c>
      <c r="F292" s="3">
        <f t="shared" si="2"/>
        <v>6994.667</v>
      </c>
      <c r="G292" s="3">
        <f t="shared" si="3"/>
        <v>252.0655008</v>
      </c>
      <c r="H292" s="3">
        <f t="shared" si="4"/>
        <v>0.9765625</v>
      </c>
      <c r="I292" s="3">
        <f t="shared" si="5"/>
        <v>8.178457504</v>
      </c>
      <c r="J292" s="3">
        <f t="shared" si="6"/>
        <v>28.22265625</v>
      </c>
      <c r="K292" s="3">
        <f t="shared" si="7"/>
        <v>236.3574219</v>
      </c>
      <c r="L292" s="3">
        <f t="shared" si="8"/>
        <v>0.03379108997</v>
      </c>
      <c r="M292" s="3">
        <f t="shared" si="9"/>
        <v>3.403143778</v>
      </c>
      <c r="N292" s="3">
        <f t="shared" si="10"/>
        <v>-1.844761171</v>
      </c>
    </row>
    <row r="293" ht="14.25" customHeight="1">
      <c r="A293" s="3">
        <v>29.0</v>
      </c>
      <c r="B293" s="3">
        <v>252.04</v>
      </c>
      <c r="C293" s="3">
        <v>2.55</v>
      </c>
      <c r="E293" s="3">
        <f t="shared" si="1"/>
        <v>841</v>
      </c>
      <c r="F293" s="3">
        <f t="shared" si="2"/>
        <v>7309.16</v>
      </c>
      <c r="G293" s="3">
        <f t="shared" si="3"/>
        <v>252.9265572</v>
      </c>
      <c r="H293" s="3">
        <f t="shared" si="4"/>
        <v>4.459823145</v>
      </c>
      <c r="I293" s="3">
        <f t="shared" si="5"/>
        <v>38.76047674</v>
      </c>
      <c r="J293" s="3">
        <f t="shared" si="6"/>
        <v>129.3348712</v>
      </c>
      <c r="K293" s="3">
        <f t="shared" si="7"/>
        <v>1124.053825</v>
      </c>
      <c r="L293" s="3">
        <f t="shared" si="8"/>
        <v>0.153787005</v>
      </c>
      <c r="M293" s="3">
        <f t="shared" si="9"/>
        <v>0.1208740876</v>
      </c>
      <c r="N293" s="3">
        <f t="shared" si="10"/>
        <v>-0.3476695091</v>
      </c>
    </row>
    <row r="294" ht="14.25" customHeight="1">
      <c r="A294" s="3">
        <v>29.1</v>
      </c>
      <c r="B294" s="3">
        <v>252.25</v>
      </c>
      <c r="C294" s="3">
        <v>3.36</v>
      </c>
      <c r="E294" s="3">
        <f t="shared" si="1"/>
        <v>846.81</v>
      </c>
      <c r="F294" s="3">
        <f t="shared" si="2"/>
        <v>7340.475</v>
      </c>
      <c r="G294" s="3">
        <f t="shared" si="3"/>
        <v>253.7876137</v>
      </c>
      <c r="H294" s="3">
        <f t="shared" si="4"/>
        <v>2.577593537</v>
      </c>
      <c r="I294" s="3">
        <f t="shared" si="5"/>
        <v>22.34357285</v>
      </c>
      <c r="J294" s="3">
        <f t="shared" si="6"/>
        <v>75.00797194</v>
      </c>
      <c r="K294" s="3">
        <f t="shared" si="7"/>
        <v>650.1979698</v>
      </c>
      <c r="L294" s="3">
        <f t="shared" si="8"/>
        <v>0.08857709751</v>
      </c>
      <c r="M294" s="3">
        <f t="shared" si="9"/>
        <v>0.2094189316</v>
      </c>
      <c r="N294" s="3">
        <f t="shared" si="10"/>
        <v>-0.4576231328</v>
      </c>
    </row>
    <row r="295" ht="14.25" customHeight="1">
      <c r="A295" s="3">
        <v>29.2</v>
      </c>
      <c r="B295" s="3">
        <v>264.4</v>
      </c>
      <c r="C295" s="3">
        <v>5.16</v>
      </c>
      <c r="E295" s="3">
        <f t="shared" si="1"/>
        <v>852.64</v>
      </c>
      <c r="F295" s="3">
        <f t="shared" si="2"/>
        <v>7720.48</v>
      </c>
      <c r="G295" s="3">
        <f t="shared" si="3"/>
        <v>254.6486702</v>
      </c>
      <c r="H295" s="3">
        <f t="shared" si="4"/>
        <v>1.096688901</v>
      </c>
      <c r="I295" s="3">
        <f t="shared" si="5"/>
        <v>9.930292651</v>
      </c>
      <c r="J295" s="3">
        <f t="shared" si="6"/>
        <v>32.02331591</v>
      </c>
      <c r="K295" s="3">
        <f t="shared" si="7"/>
        <v>289.9645454</v>
      </c>
      <c r="L295" s="3">
        <f t="shared" si="8"/>
        <v>0.03755783907</v>
      </c>
      <c r="M295" s="3">
        <f t="shared" si="9"/>
        <v>3.571316056</v>
      </c>
      <c r="N295" s="3">
        <f t="shared" si="10"/>
        <v>1.889792596</v>
      </c>
    </row>
    <row r="296" ht="14.25" customHeight="1">
      <c r="A296" s="3">
        <v>29.3</v>
      </c>
      <c r="B296" s="3">
        <v>264.36</v>
      </c>
      <c r="C296" s="3">
        <v>5.14</v>
      </c>
      <c r="E296" s="3">
        <f t="shared" si="1"/>
        <v>858.49</v>
      </c>
      <c r="F296" s="3">
        <f t="shared" si="2"/>
        <v>7745.748</v>
      </c>
      <c r="G296" s="3">
        <f t="shared" si="3"/>
        <v>255.5097267</v>
      </c>
      <c r="H296" s="3">
        <f t="shared" si="4"/>
        <v>1.109025118</v>
      </c>
      <c r="I296" s="3">
        <f t="shared" si="5"/>
        <v>10.00620751</v>
      </c>
      <c r="J296" s="3">
        <f t="shared" si="6"/>
        <v>32.49443595</v>
      </c>
      <c r="K296" s="3">
        <f t="shared" si="7"/>
        <v>293.1818801</v>
      </c>
      <c r="L296" s="3">
        <f t="shared" si="8"/>
        <v>0.03785068661</v>
      </c>
      <c r="M296" s="3">
        <f t="shared" si="9"/>
        <v>2.964743516</v>
      </c>
      <c r="N296" s="3">
        <f t="shared" si="10"/>
        <v>1.721843058</v>
      </c>
    </row>
    <row r="297" ht="14.25" customHeight="1">
      <c r="A297" s="3">
        <v>29.4</v>
      </c>
      <c r="B297" s="3">
        <v>248.92</v>
      </c>
      <c r="C297" s="3">
        <v>3.53</v>
      </c>
      <c r="E297" s="3">
        <f t="shared" si="1"/>
        <v>864.36</v>
      </c>
      <c r="F297" s="3">
        <f t="shared" si="2"/>
        <v>7318.248</v>
      </c>
      <c r="G297" s="3">
        <f t="shared" si="3"/>
        <v>256.3707832</v>
      </c>
      <c r="H297" s="3">
        <f t="shared" si="4"/>
        <v>2.359380141</v>
      </c>
      <c r="I297" s="3">
        <f t="shared" si="5"/>
        <v>19.97608519</v>
      </c>
      <c r="J297" s="3">
        <f t="shared" si="6"/>
        <v>69.36577615</v>
      </c>
      <c r="K297" s="3">
        <f t="shared" si="7"/>
        <v>587.2969047</v>
      </c>
      <c r="L297" s="3">
        <f t="shared" si="8"/>
        <v>0.08025102521</v>
      </c>
      <c r="M297" s="3">
        <f t="shared" si="9"/>
        <v>4.455069031</v>
      </c>
      <c r="N297" s="3">
        <f t="shared" si="10"/>
        <v>-2.110703445</v>
      </c>
    </row>
    <row r="298" ht="14.25" customHeight="1">
      <c r="A298" s="3">
        <v>29.5</v>
      </c>
      <c r="B298" s="3">
        <v>252.79</v>
      </c>
      <c r="C298" s="3">
        <v>5.74</v>
      </c>
      <c r="E298" s="3">
        <f t="shared" si="1"/>
        <v>870.25</v>
      </c>
      <c r="F298" s="3">
        <f t="shared" si="2"/>
        <v>7457.305</v>
      </c>
      <c r="G298" s="3">
        <f t="shared" si="3"/>
        <v>257.2318396</v>
      </c>
      <c r="H298" s="3">
        <f t="shared" si="4"/>
        <v>0.8953611189</v>
      </c>
      <c r="I298" s="3">
        <f t="shared" si="5"/>
        <v>7.672486008</v>
      </c>
      <c r="J298" s="3">
        <f t="shared" si="6"/>
        <v>26.41315301</v>
      </c>
      <c r="K298" s="3">
        <f t="shared" si="7"/>
        <v>226.3383372</v>
      </c>
      <c r="L298" s="3">
        <f t="shared" si="8"/>
        <v>0.03035122437</v>
      </c>
      <c r="M298" s="3">
        <f t="shared" si="9"/>
        <v>0.5988278165</v>
      </c>
      <c r="N298" s="3">
        <f t="shared" si="10"/>
        <v>-0.7738396581</v>
      </c>
    </row>
    <row r="299" ht="14.25" customHeight="1">
      <c r="A299" s="3">
        <v>29.6</v>
      </c>
      <c r="B299" s="3">
        <v>255.43</v>
      </c>
      <c r="C299" s="3">
        <v>3.42</v>
      </c>
      <c r="E299" s="3">
        <f t="shared" si="1"/>
        <v>876.16</v>
      </c>
      <c r="F299" s="3">
        <f t="shared" si="2"/>
        <v>7560.728</v>
      </c>
      <c r="G299" s="3">
        <f t="shared" si="3"/>
        <v>258.0928961</v>
      </c>
      <c r="H299" s="3">
        <f t="shared" si="4"/>
        <v>2.530693205</v>
      </c>
      <c r="I299" s="3">
        <f t="shared" si="5"/>
        <v>21.83834342</v>
      </c>
      <c r="J299" s="3">
        <f t="shared" si="6"/>
        <v>74.90851886</v>
      </c>
      <c r="K299" s="3">
        <f t="shared" si="7"/>
        <v>646.4149653</v>
      </c>
      <c r="L299" s="3">
        <f t="shared" si="8"/>
        <v>0.08549639205</v>
      </c>
      <c r="M299" s="3">
        <f t="shared" si="9"/>
        <v>0.6062562602</v>
      </c>
      <c r="N299" s="3">
        <f t="shared" si="10"/>
        <v>-0.7786245951</v>
      </c>
    </row>
    <row r="300" ht="14.25" customHeight="1">
      <c r="A300" s="3">
        <v>29.7</v>
      </c>
      <c r="B300" s="3">
        <v>250.55</v>
      </c>
      <c r="C300" s="3">
        <v>6.34</v>
      </c>
      <c r="E300" s="3">
        <f t="shared" si="1"/>
        <v>882.09</v>
      </c>
      <c r="F300" s="3">
        <f t="shared" si="2"/>
        <v>7441.335</v>
      </c>
      <c r="G300" s="3">
        <f t="shared" si="3"/>
        <v>258.9539526</v>
      </c>
      <c r="H300" s="3">
        <f t="shared" si="4"/>
        <v>0.7388868433</v>
      </c>
      <c r="I300" s="3">
        <f t="shared" si="5"/>
        <v>6.233269313</v>
      </c>
      <c r="J300" s="3">
        <f t="shared" si="6"/>
        <v>21.94493925</v>
      </c>
      <c r="K300" s="3">
        <f t="shared" si="7"/>
        <v>185.1280986</v>
      </c>
      <c r="L300" s="3">
        <f t="shared" si="8"/>
        <v>0.02487834489</v>
      </c>
      <c r="M300" s="3">
        <f t="shared" si="9"/>
        <v>1.757068415</v>
      </c>
      <c r="N300" s="3">
        <f t="shared" si="10"/>
        <v>-1.325544573</v>
      </c>
    </row>
    <row r="301" ht="14.25" customHeight="1">
      <c r="A301" s="3">
        <v>29.8</v>
      </c>
      <c r="B301" s="3">
        <v>253.53</v>
      </c>
      <c r="C301" s="3">
        <v>7.18</v>
      </c>
      <c r="E301" s="3">
        <f t="shared" si="1"/>
        <v>888.04</v>
      </c>
      <c r="F301" s="3">
        <f t="shared" si="2"/>
        <v>7555.194</v>
      </c>
      <c r="G301" s="3">
        <f t="shared" si="3"/>
        <v>259.8150091</v>
      </c>
      <c r="H301" s="3">
        <f t="shared" si="4"/>
        <v>0.5780526222</v>
      </c>
      <c r="I301" s="3">
        <f t="shared" si="5"/>
        <v>4.917908769</v>
      </c>
      <c r="J301" s="3">
        <f t="shared" si="6"/>
        <v>17.22596814</v>
      </c>
      <c r="K301" s="3">
        <f t="shared" si="7"/>
        <v>146.5536813</v>
      </c>
      <c r="L301" s="3">
        <f t="shared" si="8"/>
        <v>0.019397739</v>
      </c>
      <c r="M301" s="3">
        <f t="shared" si="9"/>
        <v>0.7662366645</v>
      </c>
      <c r="N301" s="3">
        <f t="shared" si="10"/>
        <v>-0.8753494528</v>
      </c>
    </row>
    <row r="302" ht="14.25" customHeight="1">
      <c r="A302" s="3">
        <v>29.9</v>
      </c>
      <c r="B302" s="3">
        <v>254.63</v>
      </c>
      <c r="C302" s="3">
        <v>5.16</v>
      </c>
      <c r="E302" s="3">
        <f t="shared" si="1"/>
        <v>894.01</v>
      </c>
      <c r="F302" s="3">
        <f t="shared" si="2"/>
        <v>7613.437</v>
      </c>
      <c r="G302" s="3">
        <f t="shared" si="3"/>
        <v>260.6760655</v>
      </c>
      <c r="H302" s="3">
        <f t="shared" si="4"/>
        <v>1.122979388</v>
      </c>
      <c r="I302" s="3">
        <f t="shared" si="5"/>
        <v>9.563352563</v>
      </c>
      <c r="J302" s="3">
        <f t="shared" si="6"/>
        <v>33.57708371</v>
      </c>
      <c r="K302" s="3">
        <f t="shared" si="7"/>
        <v>285.9442416</v>
      </c>
      <c r="L302" s="3">
        <f t="shared" si="8"/>
        <v>0.03755783907</v>
      </c>
      <c r="M302" s="3">
        <f t="shared" si="9"/>
        <v>1.372923375</v>
      </c>
      <c r="N302" s="3">
        <f t="shared" si="10"/>
        <v>-1.17171813</v>
      </c>
    </row>
    <row r="303" ht="14.25" customHeight="1">
      <c r="A303" s="3">
        <v>30.0</v>
      </c>
      <c r="B303" s="3">
        <v>248.36</v>
      </c>
      <c r="C303" s="3">
        <v>7.55</v>
      </c>
      <c r="E303" s="3">
        <f t="shared" si="1"/>
        <v>900</v>
      </c>
      <c r="F303" s="3">
        <f t="shared" si="2"/>
        <v>7450.8</v>
      </c>
      <c r="G303" s="3">
        <f t="shared" si="3"/>
        <v>261.537122</v>
      </c>
      <c r="H303" s="3">
        <f t="shared" si="4"/>
        <v>0.5262927065</v>
      </c>
      <c r="I303" s="3">
        <f t="shared" si="5"/>
        <v>4.357001886</v>
      </c>
      <c r="J303" s="3">
        <f t="shared" si="6"/>
        <v>15.78878119</v>
      </c>
      <c r="K303" s="3">
        <f t="shared" si="7"/>
        <v>130.7100566</v>
      </c>
      <c r="L303" s="3">
        <f t="shared" si="8"/>
        <v>0.01754309022</v>
      </c>
      <c r="M303" s="3">
        <f t="shared" si="9"/>
        <v>3.046121572</v>
      </c>
      <c r="N303" s="3">
        <f t="shared" si="10"/>
        <v>-1.745314176</v>
      </c>
    </row>
    <row r="304" ht="14.25" customHeight="1">
      <c r="A304" s="3">
        <v>30.1</v>
      </c>
      <c r="B304" s="3">
        <v>267.56</v>
      </c>
      <c r="C304" s="3">
        <v>7.79</v>
      </c>
      <c r="E304" s="3">
        <f t="shared" si="1"/>
        <v>906.01</v>
      </c>
      <c r="F304" s="3">
        <f t="shared" si="2"/>
        <v>8053.556</v>
      </c>
      <c r="G304" s="3">
        <f t="shared" si="3"/>
        <v>262.3981785</v>
      </c>
      <c r="H304" s="3">
        <f t="shared" si="4"/>
        <v>0.496011311</v>
      </c>
      <c r="I304" s="3">
        <f t="shared" si="5"/>
        <v>4.40906267</v>
      </c>
      <c r="J304" s="3">
        <f t="shared" si="6"/>
        <v>14.92994046</v>
      </c>
      <c r="K304" s="3">
        <f t="shared" si="7"/>
        <v>132.7127864</v>
      </c>
      <c r="L304" s="3">
        <f t="shared" si="8"/>
        <v>0.0164787811</v>
      </c>
      <c r="M304" s="3">
        <f t="shared" si="9"/>
        <v>0.439067254</v>
      </c>
      <c r="N304" s="3">
        <f t="shared" si="10"/>
        <v>0.6626215013</v>
      </c>
    </row>
    <row r="305" ht="14.25" customHeight="1">
      <c r="A305" s="3">
        <v>30.2</v>
      </c>
      <c r="B305" s="3">
        <v>264.62</v>
      </c>
      <c r="C305" s="3">
        <v>3.69</v>
      </c>
      <c r="E305" s="3">
        <f t="shared" si="1"/>
        <v>912.04</v>
      </c>
      <c r="F305" s="3">
        <f t="shared" si="2"/>
        <v>7991.524</v>
      </c>
      <c r="G305" s="3">
        <f t="shared" si="3"/>
        <v>263.259235</v>
      </c>
      <c r="H305" s="3">
        <f t="shared" si="4"/>
        <v>2.217962559</v>
      </c>
      <c r="I305" s="3">
        <f t="shared" si="5"/>
        <v>19.4343461</v>
      </c>
      <c r="J305" s="3">
        <f t="shared" si="6"/>
        <v>66.98246928</v>
      </c>
      <c r="K305" s="3">
        <f t="shared" si="7"/>
        <v>586.9172524</v>
      </c>
      <c r="L305" s="3">
        <f t="shared" si="8"/>
        <v>0.07344246884</v>
      </c>
      <c r="M305" s="3">
        <f t="shared" si="9"/>
        <v>0.1359920559</v>
      </c>
      <c r="N305" s="3">
        <f t="shared" si="10"/>
        <v>0.3687710074</v>
      </c>
    </row>
    <row r="306" ht="14.25" customHeight="1">
      <c r="A306" s="3">
        <v>30.3</v>
      </c>
      <c r="B306" s="3">
        <v>263.84</v>
      </c>
      <c r="C306" s="3">
        <v>6.94</v>
      </c>
      <c r="E306" s="3">
        <f t="shared" si="1"/>
        <v>918.09</v>
      </c>
      <c r="F306" s="3">
        <f t="shared" si="2"/>
        <v>7994.352</v>
      </c>
      <c r="G306" s="3">
        <f t="shared" si="3"/>
        <v>264.1202915</v>
      </c>
      <c r="H306" s="3">
        <f t="shared" si="4"/>
        <v>0.6291057977</v>
      </c>
      <c r="I306" s="3">
        <f t="shared" si="5"/>
        <v>5.477995831</v>
      </c>
      <c r="J306" s="3">
        <f t="shared" si="6"/>
        <v>19.06190567</v>
      </c>
      <c r="K306" s="3">
        <f t="shared" si="7"/>
        <v>165.9832737</v>
      </c>
      <c r="L306" s="3">
        <f t="shared" si="8"/>
        <v>0.02076256758</v>
      </c>
      <c r="M306" s="3">
        <f t="shared" si="9"/>
        <v>0.001631175884</v>
      </c>
      <c r="N306" s="3">
        <f t="shared" si="10"/>
        <v>-0.04038781851</v>
      </c>
    </row>
    <row r="307" ht="14.25" customHeight="1">
      <c r="A307" s="3">
        <v>30.4</v>
      </c>
      <c r="B307" s="3">
        <v>265.72</v>
      </c>
      <c r="C307" s="3">
        <v>2.66</v>
      </c>
      <c r="E307" s="3">
        <f t="shared" si="1"/>
        <v>924.16</v>
      </c>
      <c r="F307" s="3">
        <f t="shared" si="2"/>
        <v>8077.888</v>
      </c>
      <c r="G307" s="3">
        <f t="shared" si="3"/>
        <v>264.9813479</v>
      </c>
      <c r="H307" s="3">
        <f t="shared" si="4"/>
        <v>4.296455424</v>
      </c>
      <c r="I307" s="3">
        <f t="shared" si="5"/>
        <v>37.55441235</v>
      </c>
      <c r="J307" s="3">
        <f t="shared" si="6"/>
        <v>130.6122449</v>
      </c>
      <c r="K307" s="3">
        <f t="shared" si="7"/>
        <v>1141.654135</v>
      </c>
      <c r="L307" s="3">
        <f t="shared" si="8"/>
        <v>0.1413307705</v>
      </c>
      <c r="M307" s="3">
        <f t="shared" si="9"/>
        <v>0.0771110391</v>
      </c>
      <c r="N307" s="3">
        <f t="shared" si="10"/>
        <v>0.277688745</v>
      </c>
    </row>
    <row r="308" ht="14.25" customHeight="1">
      <c r="A308" s="3">
        <v>30.5</v>
      </c>
      <c r="B308" s="3">
        <v>266.09</v>
      </c>
      <c r="C308" s="3">
        <v>4.06</v>
      </c>
      <c r="E308" s="3">
        <f t="shared" si="1"/>
        <v>930.25</v>
      </c>
      <c r="F308" s="3">
        <f t="shared" si="2"/>
        <v>8115.745</v>
      </c>
      <c r="G308" s="3">
        <f t="shared" si="3"/>
        <v>265.8424044</v>
      </c>
      <c r="H308" s="3">
        <f t="shared" si="4"/>
        <v>1.850323958</v>
      </c>
      <c r="I308" s="3">
        <f t="shared" si="5"/>
        <v>16.14271154</v>
      </c>
      <c r="J308" s="3">
        <f t="shared" si="6"/>
        <v>56.43488073</v>
      </c>
      <c r="K308" s="3">
        <f t="shared" si="7"/>
        <v>492.3527021</v>
      </c>
      <c r="L308" s="3">
        <f t="shared" si="8"/>
        <v>0.06066635929</v>
      </c>
      <c r="M308" s="3">
        <f t="shared" si="9"/>
        <v>0.003719064594</v>
      </c>
      <c r="N308" s="3">
        <f t="shared" si="10"/>
        <v>0.06098413395</v>
      </c>
    </row>
    <row r="309" ht="14.25" customHeight="1">
      <c r="A309" s="3">
        <v>30.6</v>
      </c>
      <c r="B309" s="3">
        <v>270.06</v>
      </c>
      <c r="C309" s="3">
        <v>3.98</v>
      </c>
      <c r="E309" s="3">
        <f t="shared" si="1"/>
        <v>936.36</v>
      </c>
      <c r="F309" s="3">
        <f t="shared" si="2"/>
        <v>8263.836</v>
      </c>
      <c r="G309" s="3">
        <f t="shared" si="3"/>
        <v>266.7034609</v>
      </c>
      <c r="H309" s="3">
        <f t="shared" si="4"/>
        <v>1.9317694</v>
      </c>
      <c r="I309" s="3">
        <f t="shared" si="5"/>
        <v>17.0488119</v>
      </c>
      <c r="J309" s="3">
        <f t="shared" si="6"/>
        <v>59.11214363</v>
      </c>
      <c r="K309" s="3">
        <f t="shared" si="7"/>
        <v>521.6936441</v>
      </c>
      <c r="L309" s="3">
        <f t="shared" si="8"/>
        <v>0.06312971895</v>
      </c>
      <c r="M309" s="3">
        <f t="shared" si="9"/>
        <v>0.7112418102</v>
      </c>
      <c r="N309" s="3">
        <f t="shared" si="10"/>
        <v>0.8433515342</v>
      </c>
    </row>
    <row r="310" ht="14.25" customHeight="1">
      <c r="A310" s="3">
        <v>30.7</v>
      </c>
      <c r="B310" s="3">
        <v>261.95</v>
      </c>
      <c r="C310" s="3">
        <v>4.37</v>
      </c>
      <c r="E310" s="3">
        <f t="shared" si="1"/>
        <v>942.49</v>
      </c>
      <c r="F310" s="3">
        <f t="shared" si="2"/>
        <v>8041.865</v>
      </c>
      <c r="G310" s="3">
        <f t="shared" si="3"/>
        <v>267.5645174</v>
      </c>
      <c r="H310" s="3">
        <f t="shared" si="4"/>
        <v>1.607590761</v>
      </c>
      <c r="I310" s="3">
        <f t="shared" si="5"/>
        <v>13.71688599</v>
      </c>
      <c r="J310" s="3">
        <f t="shared" si="6"/>
        <v>49.35303636</v>
      </c>
      <c r="K310" s="3">
        <f t="shared" si="7"/>
        <v>421.1083998</v>
      </c>
      <c r="L310" s="3">
        <f t="shared" si="8"/>
        <v>0.0523645199</v>
      </c>
      <c r="M310" s="3">
        <f t="shared" si="9"/>
        <v>1.650676566</v>
      </c>
      <c r="N310" s="3">
        <f t="shared" si="10"/>
        <v>-1.284786584</v>
      </c>
    </row>
    <row r="311" ht="14.25" customHeight="1">
      <c r="A311" s="3">
        <v>30.8</v>
      </c>
      <c r="B311" s="3">
        <v>273.69</v>
      </c>
      <c r="C311" s="3">
        <v>7.27</v>
      </c>
      <c r="E311" s="3">
        <f t="shared" si="1"/>
        <v>948.64</v>
      </c>
      <c r="F311" s="3">
        <f t="shared" si="2"/>
        <v>8429.652</v>
      </c>
      <c r="G311" s="3">
        <f t="shared" si="3"/>
        <v>268.4255738</v>
      </c>
      <c r="H311" s="3">
        <f t="shared" si="4"/>
        <v>0.5827494802</v>
      </c>
      <c r="I311" s="3">
        <f t="shared" si="5"/>
        <v>5.178334585</v>
      </c>
      <c r="J311" s="3">
        <f t="shared" si="6"/>
        <v>17.94868399</v>
      </c>
      <c r="K311" s="3">
        <f t="shared" si="7"/>
        <v>159.4927052</v>
      </c>
      <c r="L311" s="3">
        <f t="shared" si="8"/>
        <v>0.01892043767</v>
      </c>
      <c r="M311" s="3">
        <f t="shared" si="9"/>
        <v>0.5243644661</v>
      </c>
      <c r="N311" s="3">
        <f t="shared" si="10"/>
        <v>0.7241301445</v>
      </c>
    </row>
    <row r="312" ht="14.25" customHeight="1">
      <c r="A312" s="3">
        <v>30.9</v>
      </c>
      <c r="B312" s="3">
        <v>273.71</v>
      </c>
      <c r="C312" s="3">
        <v>5.07</v>
      </c>
      <c r="E312" s="3">
        <f t="shared" si="1"/>
        <v>954.81</v>
      </c>
      <c r="F312" s="3">
        <f t="shared" si="2"/>
        <v>8457.639</v>
      </c>
      <c r="G312" s="3">
        <f t="shared" si="3"/>
        <v>269.2866303</v>
      </c>
      <c r="H312" s="3">
        <f t="shared" si="4"/>
        <v>1.202105435</v>
      </c>
      <c r="I312" s="3">
        <f t="shared" si="5"/>
        <v>10.64816436</v>
      </c>
      <c r="J312" s="3">
        <f t="shared" si="6"/>
        <v>37.14505795</v>
      </c>
      <c r="K312" s="3">
        <f t="shared" si="7"/>
        <v>329.0282787</v>
      </c>
      <c r="L312" s="3">
        <f t="shared" si="8"/>
        <v>0.03890308852</v>
      </c>
      <c r="M312" s="3">
        <f t="shared" si="9"/>
        <v>0.7611855817</v>
      </c>
      <c r="N312" s="3">
        <f t="shared" si="10"/>
        <v>0.8724595015</v>
      </c>
    </row>
    <row r="313" ht="14.25" customHeight="1">
      <c r="A313" s="3">
        <v>31.0</v>
      </c>
      <c r="B313" s="3">
        <v>270.6</v>
      </c>
      <c r="C313" s="3">
        <v>5.18</v>
      </c>
      <c r="E313" s="3">
        <f t="shared" si="1"/>
        <v>961</v>
      </c>
      <c r="F313" s="3">
        <f t="shared" si="2"/>
        <v>8388.6</v>
      </c>
      <c r="G313" s="3">
        <f t="shared" si="3"/>
        <v>270.1476868</v>
      </c>
      <c r="H313" s="3">
        <f t="shared" si="4"/>
        <v>1.155319688</v>
      </c>
      <c r="I313" s="3">
        <f t="shared" si="5"/>
        <v>10.08482283</v>
      </c>
      <c r="J313" s="3">
        <f t="shared" si="6"/>
        <v>35.81491033</v>
      </c>
      <c r="K313" s="3">
        <f t="shared" si="7"/>
        <v>312.6295076</v>
      </c>
      <c r="L313" s="3">
        <f t="shared" si="8"/>
        <v>0.03726837704</v>
      </c>
      <c r="M313" s="3">
        <f t="shared" si="9"/>
        <v>0.007624633873</v>
      </c>
      <c r="N313" s="3">
        <f t="shared" si="10"/>
        <v>0.08731914952</v>
      </c>
    </row>
    <row r="314" ht="14.25" customHeight="1">
      <c r="A314" s="3">
        <v>31.1</v>
      </c>
      <c r="B314" s="3">
        <v>280.41</v>
      </c>
      <c r="C314" s="3">
        <v>6.13</v>
      </c>
      <c r="E314" s="3">
        <f t="shared" si="1"/>
        <v>967.21</v>
      </c>
      <c r="F314" s="3">
        <f t="shared" si="2"/>
        <v>8720.751</v>
      </c>
      <c r="G314" s="3">
        <f t="shared" si="3"/>
        <v>271.0087433</v>
      </c>
      <c r="H314" s="3">
        <f t="shared" si="4"/>
        <v>0.8276361275</v>
      </c>
      <c r="I314" s="3">
        <f t="shared" si="5"/>
        <v>7.462297316</v>
      </c>
      <c r="J314" s="3">
        <f t="shared" si="6"/>
        <v>25.73948357</v>
      </c>
      <c r="K314" s="3">
        <f t="shared" si="7"/>
        <v>232.0774465</v>
      </c>
      <c r="L314" s="3">
        <f t="shared" si="8"/>
        <v>0.02661209413</v>
      </c>
      <c r="M314" s="3">
        <f t="shared" si="9"/>
        <v>2.352073424</v>
      </c>
      <c r="N314" s="3">
        <f t="shared" si="10"/>
        <v>1.533647099</v>
      </c>
    </row>
    <row r="315" ht="14.25" customHeight="1">
      <c r="A315" s="3">
        <v>31.2</v>
      </c>
      <c r="B315" s="3">
        <v>266.83</v>
      </c>
      <c r="C315" s="3">
        <v>7.7</v>
      </c>
      <c r="E315" s="3">
        <f t="shared" si="1"/>
        <v>973.44</v>
      </c>
      <c r="F315" s="3">
        <f t="shared" si="2"/>
        <v>8325.096</v>
      </c>
      <c r="G315" s="3">
        <f t="shared" si="3"/>
        <v>271.8697998</v>
      </c>
      <c r="H315" s="3">
        <f t="shared" si="4"/>
        <v>0.5262270197</v>
      </c>
      <c r="I315" s="3">
        <f t="shared" si="5"/>
        <v>4.500421656</v>
      </c>
      <c r="J315" s="3">
        <f t="shared" si="6"/>
        <v>16.41828302</v>
      </c>
      <c r="K315" s="3">
        <f t="shared" si="7"/>
        <v>140.4131557</v>
      </c>
      <c r="L315" s="3">
        <f t="shared" si="8"/>
        <v>0.01686625063</v>
      </c>
      <c r="M315" s="3">
        <f t="shared" si="9"/>
        <v>0.4283957098</v>
      </c>
      <c r="N315" s="3">
        <f t="shared" si="10"/>
        <v>-0.6545194495</v>
      </c>
    </row>
    <row r="316" ht="14.25" customHeight="1">
      <c r="A316" s="3">
        <v>31.3</v>
      </c>
      <c r="B316" s="3">
        <v>272.54</v>
      </c>
      <c r="C316" s="3">
        <v>4.91</v>
      </c>
      <c r="E316" s="3">
        <f t="shared" si="1"/>
        <v>979.69</v>
      </c>
      <c r="F316" s="3">
        <f t="shared" si="2"/>
        <v>8530.502</v>
      </c>
      <c r="G316" s="3">
        <f t="shared" si="3"/>
        <v>272.7308562</v>
      </c>
      <c r="H316" s="3">
        <f t="shared" si="4"/>
        <v>1.298318822</v>
      </c>
      <c r="I316" s="3">
        <f t="shared" si="5"/>
        <v>11.30491412</v>
      </c>
      <c r="J316" s="3">
        <f t="shared" si="6"/>
        <v>40.63737914</v>
      </c>
      <c r="K316" s="3">
        <f t="shared" si="7"/>
        <v>353.8438118</v>
      </c>
      <c r="L316" s="3">
        <f t="shared" si="8"/>
        <v>0.04147983458</v>
      </c>
      <c r="M316" s="3">
        <f t="shared" si="9"/>
        <v>0.001510948768</v>
      </c>
      <c r="N316" s="3">
        <f t="shared" si="10"/>
        <v>-0.03887092445</v>
      </c>
    </row>
    <row r="317" ht="14.25" customHeight="1">
      <c r="A317" s="3">
        <v>31.4</v>
      </c>
      <c r="B317" s="3">
        <v>280.42</v>
      </c>
      <c r="C317" s="3">
        <v>6.9</v>
      </c>
      <c r="E317" s="3">
        <f t="shared" si="1"/>
        <v>985.96</v>
      </c>
      <c r="F317" s="3">
        <f t="shared" si="2"/>
        <v>8805.188</v>
      </c>
      <c r="G317" s="3">
        <f t="shared" si="3"/>
        <v>273.5919127</v>
      </c>
      <c r="H317" s="3">
        <f t="shared" si="4"/>
        <v>0.6595253098</v>
      </c>
      <c r="I317" s="3">
        <f t="shared" si="5"/>
        <v>5.889939088</v>
      </c>
      <c r="J317" s="3">
        <f t="shared" si="6"/>
        <v>20.70909473</v>
      </c>
      <c r="K317" s="3">
        <f t="shared" si="7"/>
        <v>184.9440874</v>
      </c>
      <c r="L317" s="3">
        <f t="shared" si="8"/>
        <v>0.02100399076</v>
      </c>
      <c r="M317" s="3">
        <f t="shared" si="9"/>
        <v>0.9792643551</v>
      </c>
      <c r="N317" s="3">
        <f t="shared" si="10"/>
        <v>0.9895778671</v>
      </c>
    </row>
    <row r="318" ht="14.25" customHeight="1">
      <c r="A318" s="3">
        <v>31.5</v>
      </c>
      <c r="B318" s="3">
        <v>271.34</v>
      </c>
      <c r="C318" s="3">
        <v>7.03</v>
      </c>
      <c r="E318" s="3">
        <f t="shared" si="1"/>
        <v>992.25</v>
      </c>
      <c r="F318" s="3">
        <f t="shared" si="2"/>
        <v>8547.21</v>
      </c>
      <c r="G318" s="3">
        <f t="shared" si="3"/>
        <v>274.4529692</v>
      </c>
      <c r="H318" s="3">
        <f t="shared" si="4"/>
        <v>0.6373821602</v>
      </c>
      <c r="I318" s="3">
        <f t="shared" si="5"/>
        <v>5.490389693</v>
      </c>
      <c r="J318" s="3">
        <f t="shared" si="6"/>
        <v>20.07753805</v>
      </c>
      <c r="K318" s="3">
        <f t="shared" si="7"/>
        <v>172.9472753</v>
      </c>
      <c r="L318" s="3">
        <f t="shared" si="8"/>
        <v>0.02023435429</v>
      </c>
      <c r="M318" s="3">
        <f t="shared" si="9"/>
        <v>0.1960825725</v>
      </c>
      <c r="N318" s="3">
        <f t="shared" si="10"/>
        <v>-0.4428121187</v>
      </c>
    </row>
    <row r="319" ht="14.25" customHeight="1">
      <c r="A319" s="3">
        <v>31.6</v>
      </c>
      <c r="B319" s="3">
        <v>266.02</v>
      </c>
      <c r="C319" s="3">
        <v>6.11</v>
      </c>
      <c r="E319" s="3">
        <f t="shared" si="1"/>
        <v>998.56</v>
      </c>
      <c r="F319" s="3">
        <f t="shared" si="2"/>
        <v>8406.232</v>
      </c>
      <c r="G319" s="3">
        <f t="shared" si="3"/>
        <v>275.3140257</v>
      </c>
      <c r="H319" s="3">
        <f t="shared" si="4"/>
        <v>0.8464565347</v>
      </c>
      <c r="I319" s="3">
        <f t="shared" si="5"/>
        <v>7.125771119</v>
      </c>
      <c r="J319" s="3">
        <f t="shared" si="6"/>
        <v>26.7480265</v>
      </c>
      <c r="K319" s="3">
        <f t="shared" si="7"/>
        <v>225.1743674</v>
      </c>
      <c r="L319" s="3">
        <f t="shared" si="8"/>
        <v>0.0267865992</v>
      </c>
      <c r="M319" s="3">
        <f t="shared" si="9"/>
        <v>2.313797327</v>
      </c>
      <c r="N319" s="3">
        <f t="shared" si="10"/>
        <v>-1.521117131</v>
      </c>
    </row>
    <row r="320" ht="14.25" customHeight="1">
      <c r="A320" s="3">
        <v>31.7</v>
      </c>
      <c r="B320" s="3">
        <v>282.79</v>
      </c>
      <c r="C320" s="3">
        <v>5.84</v>
      </c>
      <c r="E320" s="3">
        <f t="shared" si="1"/>
        <v>1004.89</v>
      </c>
      <c r="F320" s="3">
        <f t="shared" si="2"/>
        <v>8964.443</v>
      </c>
      <c r="G320" s="3">
        <f t="shared" si="3"/>
        <v>276.1750822</v>
      </c>
      <c r="H320" s="3">
        <f t="shared" si="4"/>
        <v>0.9294661287</v>
      </c>
      <c r="I320" s="3">
        <f t="shared" si="5"/>
        <v>8.291600206</v>
      </c>
      <c r="J320" s="3">
        <f t="shared" si="6"/>
        <v>29.46407628</v>
      </c>
      <c r="K320" s="3">
        <f t="shared" si="7"/>
        <v>262.8437265</v>
      </c>
      <c r="L320" s="3">
        <f t="shared" si="8"/>
        <v>0.02932069807</v>
      </c>
      <c r="M320" s="3">
        <f t="shared" si="9"/>
        <v>1.282989836</v>
      </c>
      <c r="N320" s="3">
        <f t="shared" si="10"/>
        <v>1.132691413</v>
      </c>
    </row>
    <row r="321" ht="14.25" customHeight="1">
      <c r="A321" s="3">
        <v>31.8</v>
      </c>
      <c r="B321" s="3">
        <v>280.48</v>
      </c>
      <c r="C321" s="3">
        <v>6.5</v>
      </c>
      <c r="E321" s="3">
        <f t="shared" si="1"/>
        <v>1011.24</v>
      </c>
      <c r="F321" s="3">
        <f t="shared" si="2"/>
        <v>8919.264</v>
      </c>
      <c r="G321" s="3">
        <f t="shared" si="3"/>
        <v>277.0361386</v>
      </c>
      <c r="H321" s="3">
        <f t="shared" si="4"/>
        <v>0.7526627219</v>
      </c>
      <c r="I321" s="3">
        <f t="shared" si="5"/>
        <v>6.638579882</v>
      </c>
      <c r="J321" s="3">
        <f t="shared" si="6"/>
        <v>23.93467456</v>
      </c>
      <c r="K321" s="3">
        <f t="shared" si="7"/>
        <v>211.1068402</v>
      </c>
      <c r="L321" s="3">
        <f t="shared" si="8"/>
        <v>0.02366863905</v>
      </c>
      <c r="M321" s="3">
        <f t="shared" si="9"/>
        <v>0.2807143467</v>
      </c>
      <c r="N321" s="3">
        <f t="shared" si="10"/>
        <v>0.5298248264</v>
      </c>
    </row>
    <row r="322" ht="14.25" customHeight="1">
      <c r="A322" s="3">
        <v>31.9</v>
      </c>
      <c r="B322" s="3">
        <v>276.69</v>
      </c>
      <c r="C322" s="3">
        <v>2.98</v>
      </c>
      <c r="E322" s="3">
        <f t="shared" si="1"/>
        <v>1017.61</v>
      </c>
      <c r="F322" s="3">
        <f t="shared" si="2"/>
        <v>8826.411</v>
      </c>
      <c r="G322" s="3">
        <f t="shared" si="3"/>
        <v>277.8971951</v>
      </c>
      <c r="H322" s="3">
        <f t="shared" si="4"/>
        <v>3.592180532</v>
      </c>
      <c r="I322" s="3">
        <f t="shared" si="5"/>
        <v>31.1573803</v>
      </c>
      <c r="J322" s="3">
        <f t="shared" si="6"/>
        <v>114.590559</v>
      </c>
      <c r="K322" s="3">
        <f t="shared" si="7"/>
        <v>993.9204315</v>
      </c>
      <c r="L322" s="3">
        <f t="shared" si="8"/>
        <v>0.1126075402</v>
      </c>
      <c r="M322" s="3">
        <f t="shared" si="9"/>
        <v>0.1641052232</v>
      </c>
      <c r="N322" s="3">
        <f t="shared" si="10"/>
        <v>-0.4050990289</v>
      </c>
    </row>
    <row r="323" ht="14.25" customHeight="1">
      <c r="A323" s="3">
        <v>32.0</v>
      </c>
      <c r="B323" s="3">
        <v>274.21</v>
      </c>
      <c r="C323" s="3">
        <v>4.88</v>
      </c>
      <c r="E323" s="3">
        <f t="shared" si="1"/>
        <v>1024</v>
      </c>
      <c r="F323" s="3">
        <f t="shared" si="2"/>
        <v>8774.72</v>
      </c>
      <c r="G323" s="3">
        <f t="shared" si="3"/>
        <v>278.7582516</v>
      </c>
      <c r="H323" s="3">
        <f t="shared" si="4"/>
        <v>1.343724805</v>
      </c>
      <c r="I323" s="3">
        <f t="shared" si="5"/>
        <v>11.51446184</v>
      </c>
      <c r="J323" s="3">
        <f t="shared" si="6"/>
        <v>42.99919377</v>
      </c>
      <c r="K323" s="3">
        <f t="shared" si="7"/>
        <v>368.4627788</v>
      </c>
      <c r="L323" s="3">
        <f t="shared" si="8"/>
        <v>0.04199140016</v>
      </c>
      <c r="M323" s="3">
        <f t="shared" si="9"/>
        <v>0.8686589825</v>
      </c>
      <c r="N323" s="3">
        <f t="shared" si="10"/>
        <v>-0.9320187672</v>
      </c>
    </row>
    <row r="324" ht="14.25" customHeight="1">
      <c r="A324" s="3">
        <v>32.1</v>
      </c>
      <c r="B324" s="3">
        <v>280.89</v>
      </c>
      <c r="C324" s="3">
        <v>6.46</v>
      </c>
      <c r="E324" s="3">
        <f t="shared" si="1"/>
        <v>1030.41</v>
      </c>
      <c r="F324" s="3">
        <f t="shared" si="2"/>
        <v>9016.569</v>
      </c>
      <c r="G324" s="3">
        <f t="shared" si="3"/>
        <v>279.6193081</v>
      </c>
      <c r="H324" s="3">
        <f t="shared" si="4"/>
        <v>0.7692012767</v>
      </c>
      <c r="I324" s="3">
        <f t="shared" si="5"/>
        <v>6.730870611</v>
      </c>
      <c r="J324" s="3">
        <f t="shared" si="6"/>
        <v>24.69136098</v>
      </c>
      <c r="K324" s="3">
        <f t="shared" si="7"/>
        <v>216.0609466</v>
      </c>
      <c r="L324" s="3">
        <f t="shared" si="8"/>
        <v>0.0239626566</v>
      </c>
      <c r="M324" s="3">
        <f t="shared" si="9"/>
        <v>0.03869149521</v>
      </c>
      <c r="N324" s="3">
        <f t="shared" si="10"/>
        <v>0.1967015384</v>
      </c>
    </row>
    <row r="325" ht="14.25" customHeight="1">
      <c r="A325" s="3">
        <v>32.2</v>
      </c>
      <c r="B325" s="3">
        <v>277.01</v>
      </c>
      <c r="C325" s="3">
        <v>3.71</v>
      </c>
      <c r="E325" s="3">
        <f t="shared" si="1"/>
        <v>1036.84</v>
      </c>
      <c r="F325" s="3">
        <f t="shared" si="2"/>
        <v>8919.722</v>
      </c>
      <c r="G325" s="3">
        <f t="shared" si="3"/>
        <v>280.4803645</v>
      </c>
      <c r="H325" s="3">
        <f t="shared" si="4"/>
        <v>2.339419214</v>
      </c>
      <c r="I325" s="3">
        <f t="shared" si="5"/>
        <v>20.12554399</v>
      </c>
      <c r="J325" s="3">
        <f t="shared" si="6"/>
        <v>75.32929868</v>
      </c>
      <c r="K325" s="3">
        <f t="shared" si="7"/>
        <v>648.0425164</v>
      </c>
      <c r="L325" s="3">
        <f t="shared" si="8"/>
        <v>0.07265277061</v>
      </c>
      <c r="M325" s="3">
        <f t="shared" si="9"/>
        <v>0.87498856</v>
      </c>
      <c r="N325" s="3">
        <f t="shared" si="10"/>
        <v>-0.9354082318</v>
      </c>
    </row>
    <row r="326" ht="14.25" customHeight="1">
      <c r="A326" s="3">
        <v>32.3</v>
      </c>
      <c r="B326" s="3">
        <v>278.57</v>
      </c>
      <c r="C326" s="3">
        <v>7.78</v>
      </c>
      <c r="E326" s="3">
        <f t="shared" si="1"/>
        <v>1043.29</v>
      </c>
      <c r="F326" s="3">
        <f t="shared" si="2"/>
        <v>8997.811</v>
      </c>
      <c r="G326" s="3">
        <f t="shared" si="3"/>
        <v>281.341421</v>
      </c>
      <c r="H326" s="3">
        <f t="shared" si="4"/>
        <v>0.5336337983</v>
      </c>
      <c r="I326" s="3">
        <f t="shared" si="5"/>
        <v>4.60230239</v>
      </c>
      <c r="J326" s="3">
        <f t="shared" si="6"/>
        <v>17.23637169</v>
      </c>
      <c r="K326" s="3">
        <f t="shared" si="7"/>
        <v>148.6543672</v>
      </c>
      <c r="L326" s="3">
        <f t="shared" si="8"/>
        <v>0.01652117023</v>
      </c>
      <c r="M326" s="3">
        <f t="shared" si="9"/>
        <v>0.1268953823</v>
      </c>
      <c r="N326" s="3">
        <f t="shared" si="10"/>
        <v>-0.3562237812</v>
      </c>
    </row>
    <row r="327" ht="14.25" customHeight="1">
      <c r="A327" s="3">
        <v>32.4</v>
      </c>
      <c r="B327" s="3">
        <v>278.98</v>
      </c>
      <c r="C327" s="3">
        <v>5.19</v>
      </c>
      <c r="E327" s="3">
        <f t="shared" si="1"/>
        <v>1049.76</v>
      </c>
      <c r="F327" s="3">
        <f t="shared" si="2"/>
        <v>9038.952</v>
      </c>
      <c r="G327" s="3">
        <f t="shared" si="3"/>
        <v>282.2024775</v>
      </c>
      <c r="H327" s="3">
        <f t="shared" si="4"/>
        <v>1.202846737</v>
      </c>
      <c r="I327" s="3">
        <f t="shared" si="5"/>
        <v>10.35710441</v>
      </c>
      <c r="J327" s="3">
        <f t="shared" si="6"/>
        <v>38.97223429</v>
      </c>
      <c r="K327" s="3">
        <f t="shared" si="7"/>
        <v>335.5701828</v>
      </c>
      <c r="L327" s="3">
        <f t="shared" si="8"/>
        <v>0.0371248993</v>
      </c>
      <c r="M327" s="3">
        <f t="shared" si="9"/>
        <v>0.3855183642</v>
      </c>
      <c r="N327" s="3">
        <f t="shared" si="10"/>
        <v>-0.6209012516</v>
      </c>
    </row>
    <row r="328" ht="14.25" customHeight="1">
      <c r="A328" s="3">
        <v>32.5</v>
      </c>
      <c r="B328" s="3">
        <v>281.99</v>
      </c>
      <c r="C328" s="3">
        <v>3.08</v>
      </c>
      <c r="E328" s="3">
        <f t="shared" si="1"/>
        <v>1056.25</v>
      </c>
      <c r="F328" s="3">
        <f t="shared" si="2"/>
        <v>9164.675</v>
      </c>
      <c r="G328" s="3">
        <f t="shared" si="3"/>
        <v>283.063534</v>
      </c>
      <c r="H328" s="3">
        <f t="shared" si="4"/>
        <v>3.42595716</v>
      </c>
      <c r="I328" s="3">
        <f t="shared" si="5"/>
        <v>29.7257126</v>
      </c>
      <c r="J328" s="3">
        <f t="shared" si="6"/>
        <v>111.3436077</v>
      </c>
      <c r="K328" s="3">
        <f t="shared" si="7"/>
        <v>966.0856595</v>
      </c>
      <c r="L328" s="3">
        <f t="shared" si="8"/>
        <v>0.1054140665</v>
      </c>
      <c r="M328" s="3">
        <f t="shared" si="9"/>
        <v>0.1214870965</v>
      </c>
      <c r="N328" s="3">
        <f t="shared" si="10"/>
        <v>-0.3485499914</v>
      </c>
    </row>
    <row r="329" ht="14.25" customHeight="1">
      <c r="A329" s="3">
        <v>32.6</v>
      </c>
      <c r="B329" s="3">
        <v>287.39</v>
      </c>
      <c r="C329" s="3">
        <v>4.24</v>
      </c>
      <c r="E329" s="3">
        <f t="shared" si="1"/>
        <v>1062.76</v>
      </c>
      <c r="F329" s="3">
        <f t="shared" si="2"/>
        <v>9368.914</v>
      </c>
      <c r="G329" s="3">
        <f t="shared" si="3"/>
        <v>283.9245905</v>
      </c>
      <c r="H329" s="3">
        <f t="shared" si="4"/>
        <v>1.813367747</v>
      </c>
      <c r="I329" s="3">
        <f t="shared" si="5"/>
        <v>15.98600481</v>
      </c>
      <c r="J329" s="3">
        <f t="shared" si="6"/>
        <v>59.11578854</v>
      </c>
      <c r="K329" s="3">
        <f t="shared" si="7"/>
        <v>521.1437567</v>
      </c>
      <c r="L329" s="3">
        <f t="shared" si="8"/>
        <v>0.0556247775</v>
      </c>
      <c r="M329" s="3">
        <f t="shared" si="9"/>
        <v>0.6680014763</v>
      </c>
      <c r="N329" s="3">
        <f t="shared" si="10"/>
        <v>0.8173135728</v>
      </c>
    </row>
    <row r="330" ht="14.25" customHeight="1">
      <c r="A330" s="3">
        <v>32.7</v>
      </c>
      <c r="B330" s="3">
        <v>281.48</v>
      </c>
      <c r="C330" s="3">
        <v>4.13</v>
      </c>
      <c r="E330" s="3">
        <f t="shared" si="1"/>
        <v>1069.29</v>
      </c>
      <c r="F330" s="3">
        <f t="shared" si="2"/>
        <v>9204.396</v>
      </c>
      <c r="G330" s="3">
        <f t="shared" si="3"/>
        <v>284.7856469</v>
      </c>
      <c r="H330" s="3">
        <f t="shared" si="4"/>
        <v>1.917112723</v>
      </c>
      <c r="I330" s="3">
        <f t="shared" si="5"/>
        <v>16.50241251</v>
      </c>
      <c r="J330" s="3">
        <f t="shared" si="6"/>
        <v>62.68958603</v>
      </c>
      <c r="K330" s="3">
        <f t="shared" si="7"/>
        <v>539.6288892</v>
      </c>
      <c r="L330" s="3">
        <f t="shared" si="8"/>
        <v>0.05862730039</v>
      </c>
      <c r="M330" s="3">
        <f t="shared" si="9"/>
        <v>0.6406381945</v>
      </c>
      <c r="N330" s="3">
        <f t="shared" si="10"/>
        <v>-0.8003987722</v>
      </c>
    </row>
    <row r="331" ht="14.25" customHeight="1">
      <c r="A331" s="3">
        <v>32.8</v>
      </c>
      <c r="B331" s="3">
        <v>282.48</v>
      </c>
      <c r="C331" s="3">
        <v>3.32</v>
      </c>
      <c r="E331" s="3">
        <f t="shared" si="1"/>
        <v>1075.84</v>
      </c>
      <c r="F331" s="3">
        <f t="shared" si="2"/>
        <v>9265.344</v>
      </c>
      <c r="G331" s="3">
        <f t="shared" si="3"/>
        <v>285.6467034</v>
      </c>
      <c r="H331" s="3">
        <f t="shared" si="4"/>
        <v>2.975758456</v>
      </c>
      <c r="I331" s="3">
        <f t="shared" si="5"/>
        <v>25.62781245</v>
      </c>
      <c r="J331" s="3">
        <f t="shared" si="6"/>
        <v>97.60487734</v>
      </c>
      <c r="K331" s="3">
        <f t="shared" si="7"/>
        <v>840.5922485</v>
      </c>
      <c r="L331" s="3">
        <f t="shared" si="8"/>
        <v>0.09072434316</v>
      </c>
      <c r="M331" s="3">
        <f t="shared" si="9"/>
        <v>0.9097846629</v>
      </c>
      <c r="N331" s="3">
        <f t="shared" si="10"/>
        <v>-0.9538263274</v>
      </c>
    </row>
    <row r="332" ht="14.25" customHeight="1">
      <c r="A332" s="3">
        <v>32.9</v>
      </c>
      <c r="B332" s="3">
        <v>301.97</v>
      </c>
      <c r="C332" s="3">
        <v>8.35</v>
      </c>
      <c r="E332" s="3">
        <f t="shared" si="1"/>
        <v>1082.41</v>
      </c>
      <c r="F332" s="3">
        <f t="shared" si="2"/>
        <v>9934.813</v>
      </c>
      <c r="G332" s="3">
        <f t="shared" si="3"/>
        <v>286.5077599</v>
      </c>
      <c r="H332" s="3">
        <f t="shared" si="4"/>
        <v>0.47187063</v>
      </c>
      <c r="I332" s="3">
        <f t="shared" si="5"/>
        <v>4.33102657</v>
      </c>
      <c r="J332" s="3">
        <f t="shared" si="6"/>
        <v>15.52454373</v>
      </c>
      <c r="K332" s="3">
        <f t="shared" si="7"/>
        <v>142.4907741</v>
      </c>
      <c r="L332" s="3">
        <f t="shared" si="8"/>
        <v>0.01434257234</v>
      </c>
      <c r="M332" s="3">
        <f t="shared" si="9"/>
        <v>3.429034664</v>
      </c>
      <c r="N332" s="3">
        <f t="shared" si="10"/>
        <v>1.851765283</v>
      </c>
    </row>
    <row r="333" ht="14.25" customHeight="1">
      <c r="A333" s="3">
        <v>33.0</v>
      </c>
      <c r="B333" s="3">
        <v>286.63</v>
      </c>
      <c r="C333" s="3">
        <v>3.96</v>
      </c>
      <c r="E333" s="3">
        <f t="shared" si="1"/>
        <v>1089</v>
      </c>
      <c r="F333" s="3">
        <f t="shared" si="2"/>
        <v>9458.79</v>
      </c>
      <c r="G333" s="3">
        <f t="shared" si="3"/>
        <v>287.3688164</v>
      </c>
      <c r="H333" s="3">
        <f t="shared" si="4"/>
        <v>2.104377104</v>
      </c>
      <c r="I333" s="3">
        <f t="shared" si="5"/>
        <v>18.27810938</v>
      </c>
      <c r="J333" s="3">
        <f t="shared" si="6"/>
        <v>69.44444444</v>
      </c>
      <c r="K333" s="3">
        <f t="shared" si="7"/>
        <v>603.1776094</v>
      </c>
      <c r="L333" s="3">
        <f t="shared" si="8"/>
        <v>0.06376900316</v>
      </c>
      <c r="M333" s="3">
        <f t="shared" si="9"/>
        <v>0.03480828601</v>
      </c>
      <c r="N333" s="3">
        <f t="shared" si="10"/>
        <v>-0.1865697886</v>
      </c>
    </row>
    <row r="334" ht="14.25" customHeight="1">
      <c r="A334" s="3">
        <v>33.1</v>
      </c>
      <c r="B334" s="3">
        <v>288.47</v>
      </c>
      <c r="C334" s="3">
        <v>7.27</v>
      </c>
      <c r="E334" s="3">
        <f t="shared" si="1"/>
        <v>1095.61</v>
      </c>
      <c r="F334" s="3">
        <f t="shared" si="2"/>
        <v>9548.357</v>
      </c>
      <c r="G334" s="3">
        <f t="shared" si="3"/>
        <v>288.2298728</v>
      </c>
      <c r="H334" s="3">
        <f t="shared" si="4"/>
        <v>0.6262664868</v>
      </c>
      <c r="I334" s="3">
        <f t="shared" si="5"/>
        <v>5.457978654</v>
      </c>
      <c r="J334" s="3">
        <f t="shared" si="6"/>
        <v>20.72942071</v>
      </c>
      <c r="K334" s="3">
        <f t="shared" si="7"/>
        <v>180.6590934</v>
      </c>
      <c r="L334" s="3">
        <f t="shared" si="8"/>
        <v>0.01892043767</v>
      </c>
      <c r="M334" s="3">
        <f t="shared" si="9"/>
        <v>0.001090972353</v>
      </c>
      <c r="N334" s="3">
        <f t="shared" si="10"/>
        <v>0.03302987062</v>
      </c>
    </row>
    <row r="335" ht="14.25" customHeight="1">
      <c r="A335" s="3">
        <v>33.2</v>
      </c>
      <c r="B335" s="3">
        <v>274.64</v>
      </c>
      <c r="C335" s="3">
        <v>6.6</v>
      </c>
      <c r="E335" s="3">
        <f t="shared" si="1"/>
        <v>1102.24</v>
      </c>
      <c r="F335" s="3">
        <f t="shared" si="2"/>
        <v>9118.048</v>
      </c>
      <c r="G335" s="3">
        <f t="shared" si="3"/>
        <v>289.0909293</v>
      </c>
      <c r="H335" s="3">
        <f t="shared" si="4"/>
        <v>0.7621671258</v>
      </c>
      <c r="I335" s="3">
        <f t="shared" si="5"/>
        <v>6.30486685</v>
      </c>
      <c r="J335" s="3">
        <f t="shared" si="6"/>
        <v>25.30394858</v>
      </c>
      <c r="K335" s="3">
        <f t="shared" si="7"/>
        <v>209.3215794</v>
      </c>
      <c r="L335" s="3">
        <f t="shared" si="8"/>
        <v>0.02295684114</v>
      </c>
      <c r="M335" s="3">
        <f t="shared" si="9"/>
        <v>4.794062401</v>
      </c>
      <c r="N335" s="3">
        <f t="shared" si="10"/>
        <v>-2.189534745</v>
      </c>
    </row>
    <row r="336" ht="14.25" customHeight="1">
      <c r="A336" s="3">
        <v>33.3</v>
      </c>
      <c r="B336" s="3">
        <v>292.71</v>
      </c>
      <c r="C336" s="3">
        <v>3.5</v>
      </c>
      <c r="E336" s="3">
        <f t="shared" si="1"/>
        <v>1108.89</v>
      </c>
      <c r="F336" s="3">
        <f t="shared" si="2"/>
        <v>9747.243</v>
      </c>
      <c r="G336" s="3">
        <f t="shared" si="3"/>
        <v>289.9519858</v>
      </c>
      <c r="H336" s="3">
        <f t="shared" si="4"/>
        <v>2.718367347</v>
      </c>
      <c r="I336" s="3">
        <f t="shared" si="5"/>
        <v>23.89469388</v>
      </c>
      <c r="J336" s="3">
        <f t="shared" si="6"/>
        <v>90.52163265</v>
      </c>
      <c r="K336" s="3">
        <f t="shared" si="7"/>
        <v>795.6933061</v>
      </c>
      <c r="L336" s="3">
        <f t="shared" si="8"/>
        <v>0.08163265306</v>
      </c>
      <c r="M336" s="3">
        <f t="shared" si="9"/>
        <v>0.6209503957</v>
      </c>
      <c r="N336" s="3">
        <f t="shared" si="10"/>
        <v>0.7880040582</v>
      </c>
    </row>
    <row r="337" ht="14.25" customHeight="1">
      <c r="A337" s="3">
        <v>33.4</v>
      </c>
      <c r="B337" s="3">
        <v>294.07</v>
      </c>
      <c r="C337" s="3">
        <v>6.49</v>
      </c>
      <c r="E337" s="3">
        <f t="shared" si="1"/>
        <v>1115.56</v>
      </c>
      <c r="F337" s="3">
        <f t="shared" si="2"/>
        <v>9821.938</v>
      </c>
      <c r="G337" s="3">
        <f t="shared" si="3"/>
        <v>290.8130423</v>
      </c>
      <c r="H337" s="3">
        <f t="shared" si="4"/>
        <v>0.792970577</v>
      </c>
      <c r="I337" s="3">
        <f t="shared" si="5"/>
        <v>6.981702323</v>
      </c>
      <c r="J337" s="3">
        <f t="shared" si="6"/>
        <v>26.48521727</v>
      </c>
      <c r="K337" s="3">
        <f t="shared" si="7"/>
        <v>233.1888576</v>
      </c>
      <c r="L337" s="3">
        <f t="shared" si="8"/>
        <v>0.02374163404</v>
      </c>
      <c r="M337" s="3">
        <f t="shared" si="9"/>
        <v>0.2518458795</v>
      </c>
      <c r="N337" s="3">
        <f t="shared" si="10"/>
        <v>0.5018424847</v>
      </c>
    </row>
    <row r="338" ht="14.25" customHeight="1">
      <c r="A338" s="3">
        <v>33.5</v>
      </c>
      <c r="B338" s="3">
        <v>298.62</v>
      </c>
      <c r="C338" s="3">
        <v>6.18</v>
      </c>
      <c r="E338" s="3">
        <f t="shared" si="1"/>
        <v>1122.25</v>
      </c>
      <c r="F338" s="3">
        <f t="shared" si="2"/>
        <v>10003.77</v>
      </c>
      <c r="G338" s="3">
        <f t="shared" si="3"/>
        <v>291.6740988</v>
      </c>
      <c r="H338" s="3">
        <f t="shared" si="4"/>
        <v>0.8771378599</v>
      </c>
      <c r="I338" s="3">
        <f t="shared" si="5"/>
        <v>7.818833066</v>
      </c>
      <c r="J338" s="3">
        <f t="shared" si="6"/>
        <v>29.38411831</v>
      </c>
      <c r="K338" s="3">
        <f t="shared" si="7"/>
        <v>261.9309077</v>
      </c>
      <c r="L338" s="3">
        <f t="shared" si="8"/>
        <v>0.0261832197</v>
      </c>
      <c r="M338" s="3">
        <f t="shared" si="9"/>
        <v>1.263223682</v>
      </c>
      <c r="N338" s="3">
        <f t="shared" si="10"/>
        <v>1.123932241</v>
      </c>
    </row>
    <row r="339" ht="14.25" customHeight="1">
      <c r="A339" s="3">
        <v>33.6</v>
      </c>
      <c r="B339" s="3">
        <v>289.43</v>
      </c>
      <c r="C339" s="3">
        <v>2.98</v>
      </c>
      <c r="E339" s="3">
        <f t="shared" si="1"/>
        <v>1128.96</v>
      </c>
      <c r="F339" s="3">
        <f t="shared" si="2"/>
        <v>9724.848</v>
      </c>
      <c r="G339" s="3">
        <f t="shared" si="3"/>
        <v>292.5351552</v>
      </c>
      <c r="H339" s="3">
        <f t="shared" si="4"/>
        <v>3.783613351</v>
      </c>
      <c r="I339" s="3">
        <f t="shared" si="5"/>
        <v>32.59200036</v>
      </c>
      <c r="J339" s="3">
        <f t="shared" si="6"/>
        <v>127.1294086</v>
      </c>
      <c r="K339" s="3">
        <f t="shared" si="7"/>
        <v>1095.091212</v>
      </c>
      <c r="L339" s="3">
        <f t="shared" si="8"/>
        <v>0.1126075402</v>
      </c>
      <c r="M339" s="3">
        <f t="shared" si="9"/>
        <v>1.085760664</v>
      </c>
      <c r="N339" s="3">
        <f t="shared" si="10"/>
        <v>-1.041998399</v>
      </c>
    </row>
    <row r="340" ht="14.25" customHeight="1">
      <c r="A340" s="3">
        <v>33.7</v>
      </c>
      <c r="B340" s="3">
        <v>294.3</v>
      </c>
      <c r="C340" s="3">
        <v>3.31</v>
      </c>
      <c r="E340" s="3">
        <f t="shared" si="1"/>
        <v>1135.69</v>
      </c>
      <c r="F340" s="3">
        <f t="shared" si="2"/>
        <v>9917.91</v>
      </c>
      <c r="G340" s="3">
        <f t="shared" si="3"/>
        <v>293.3962117</v>
      </c>
      <c r="H340" s="3">
        <f t="shared" si="4"/>
        <v>3.075912049</v>
      </c>
      <c r="I340" s="3">
        <f t="shared" si="5"/>
        <v>26.86174825</v>
      </c>
      <c r="J340" s="3">
        <f t="shared" si="6"/>
        <v>103.6582361</v>
      </c>
      <c r="K340" s="3">
        <f t="shared" si="7"/>
        <v>905.240916</v>
      </c>
      <c r="L340" s="3">
        <f t="shared" si="8"/>
        <v>0.09127335457</v>
      </c>
      <c r="M340" s="3">
        <f t="shared" si="9"/>
        <v>0.07455511333</v>
      </c>
      <c r="N340" s="3">
        <f t="shared" si="10"/>
        <v>0.2730478224</v>
      </c>
    </row>
    <row r="341" ht="14.25" customHeight="1">
      <c r="A341" s="3">
        <v>33.8</v>
      </c>
      <c r="B341" s="3">
        <v>287.09</v>
      </c>
      <c r="C341" s="3">
        <v>6.75</v>
      </c>
      <c r="E341" s="3">
        <f t="shared" si="1"/>
        <v>1142.44</v>
      </c>
      <c r="F341" s="3">
        <f t="shared" si="2"/>
        <v>9703.642</v>
      </c>
      <c r="G341" s="3">
        <f t="shared" si="3"/>
        <v>294.2572682</v>
      </c>
      <c r="H341" s="3">
        <f t="shared" si="4"/>
        <v>0.7418381344</v>
      </c>
      <c r="I341" s="3">
        <f t="shared" si="5"/>
        <v>6.301015089</v>
      </c>
      <c r="J341" s="3">
        <f t="shared" si="6"/>
        <v>25.07412894</v>
      </c>
      <c r="K341" s="3">
        <f t="shared" si="7"/>
        <v>212.97431</v>
      </c>
      <c r="L341" s="3">
        <f t="shared" si="8"/>
        <v>0.0219478738</v>
      </c>
      <c r="M341" s="3">
        <f t="shared" si="9"/>
        <v>1.127456422</v>
      </c>
      <c r="N341" s="3">
        <f t="shared" si="10"/>
        <v>-1.061817509</v>
      </c>
    </row>
    <row r="342" ht="14.25" customHeight="1">
      <c r="A342" s="3">
        <v>33.9</v>
      </c>
      <c r="B342" s="3">
        <v>290.62</v>
      </c>
      <c r="C342" s="3">
        <v>3.78</v>
      </c>
      <c r="E342" s="3">
        <f t="shared" si="1"/>
        <v>1149.21</v>
      </c>
      <c r="F342" s="3">
        <f t="shared" si="2"/>
        <v>9852.018</v>
      </c>
      <c r="G342" s="3">
        <f t="shared" si="3"/>
        <v>295.1183247</v>
      </c>
      <c r="H342" s="3">
        <f t="shared" si="4"/>
        <v>2.37255396</v>
      </c>
      <c r="I342" s="3">
        <f t="shared" si="5"/>
        <v>20.33957616</v>
      </c>
      <c r="J342" s="3">
        <f t="shared" si="6"/>
        <v>80.42957924</v>
      </c>
      <c r="K342" s="3">
        <f t="shared" si="7"/>
        <v>689.5116318</v>
      </c>
      <c r="L342" s="3">
        <f t="shared" si="8"/>
        <v>0.06998684247</v>
      </c>
      <c r="M342" s="3">
        <f t="shared" si="9"/>
        <v>1.416178493</v>
      </c>
      <c r="N342" s="3">
        <f t="shared" si="10"/>
        <v>-1.19003298</v>
      </c>
    </row>
    <row r="343" ht="14.25" customHeight="1">
      <c r="A343" s="3">
        <v>34.0</v>
      </c>
      <c r="B343" s="3">
        <v>300.97</v>
      </c>
      <c r="C343" s="3">
        <v>7.94</v>
      </c>
      <c r="E343" s="3">
        <f t="shared" si="1"/>
        <v>1156</v>
      </c>
      <c r="F343" s="3">
        <f t="shared" si="2"/>
        <v>10232.98</v>
      </c>
      <c r="G343" s="3">
        <f t="shared" si="3"/>
        <v>295.9793811</v>
      </c>
      <c r="H343" s="3">
        <f t="shared" si="4"/>
        <v>0.5393093034</v>
      </c>
      <c r="I343" s="3">
        <f t="shared" si="5"/>
        <v>4.773997678</v>
      </c>
      <c r="J343" s="3">
        <f t="shared" si="6"/>
        <v>18.33651632</v>
      </c>
      <c r="K343" s="3">
        <f t="shared" si="7"/>
        <v>162.315921</v>
      </c>
      <c r="L343" s="3">
        <f t="shared" si="8"/>
        <v>0.01586203834</v>
      </c>
      <c r="M343" s="3">
        <f t="shared" si="9"/>
        <v>0.3950643141</v>
      </c>
      <c r="N343" s="3">
        <f t="shared" si="10"/>
        <v>0.628541418</v>
      </c>
    </row>
    <row r="344" ht="14.25" customHeight="1">
      <c r="A344" s="3">
        <v>34.1</v>
      </c>
      <c r="B344" s="3">
        <v>292.78</v>
      </c>
      <c r="C344" s="3">
        <v>4.84</v>
      </c>
      <c r="E344" s="3">
        <f t="shared" si="1"/>
        <v>1162.81</v>
      </c>
      <c r="F344" s="3">
        <f t="shared" si="2"/>
        <v>9983.798</v>
      </c>
      <c r="G344" s="3">
        <f t="shared" si="3"/>
        <v>296.8404376</v>
      </c>
      <c r="H344" s="3">
        <f t="shared" si="4"/>
        <v>1.455672427</v>
      </c>
      <c r="I344" s="3">
        <f t="shared" si="5"/>
        <v>12.49829247</v>
      </c>
      <c r="J344" s="3">
        <f t="shared" si="6"/>
        <v>49.63842975</v>
      </c>
      <c r="K344" s="3">
        <f t="shared" si="7"/>
        <v>426.1917731</v>
      </c>
      <c r="L344" s="3">
        <f t="shared" si="8"/>
        <v>0.04268834096</v>
      </c>
      <c r="M344" s="3">
        <f t="shared" si="9"/>
        <v>0.7038092369</v>
      </c>
      <c r="N344" s="3">
        <f t="shared" si="10"/>
        <v>-0.8389333924</v>
      </c>
    </row>
    <row r="345" ht="14.25" customHeight="1">
      <c r="A345" s="3">
        <v>34.2</v>
      </c>
      <c r="B345" s="3">
        <v>295.82</v>
      </c>
      <c r="C345" s="3">
        <v>5.26</v>
      </c>
      <c r="E345" s="3">
        <f t="shared" si="1"/>
        <v>1169.64</v>
      </c>
      <c r="F345" s="3">
        <f t="shared" si="2"/>
        <v>10117.044</v>
      </c>
      <c r="G345" s="3">
        <f t="shared" si="3"/>
        <v>297.7014941</v>
      </c>
      <c r="H345" s="3">
        <f t="shared" si="4"/>
        <v>1.236102878</v>
      </c>
      <c r="I345" s="3">
        <f t="shared" si="5"/>
        <v>10.69192847</v>
      </c>
      <c r="J345" s="3">
        <f t="shared" si="6"/>
        <v>42.27471844</v>
      </c>
      <c r="K345" s="3">
        <f t="shared" si="7"/>
        <v>365.6639535</v>
      </c>
      <c r="L345" s="3">
        <f t="shared" si="8"/>
        <v>0.03614335902</v>
      </c>
      <c r="M345" s="3">
        <f t="shared" si="9"/>
        <v>0.1279482151</v>
      </c>
      <c r="N345" s="3">
        <f t="shared" si="10"/>
        <v>-0.3576984975</v>
      </c>
    </row>
    <row r="346" ht="14.25" customHeight="1">
      <c r="A346" s="3">
        <v>34.3</v>
      </c>
      <c r="B346" s="3">
        <v>309.0</v>
      </c>
      <c r="C346" s="3">
        <v>5.71</v>
      </c>
      <c r="E346" s="3">
        <f t="shared" si="1"/>
        <v>1176.49</v>
      </c>
      <c r="F346" s="3">
        <f t="shared" si="2"/>
        <v>10598.7</v>
      </c>
      <c r="G346" s="3">
        <f t="shared" si="3"/>
        <v>298.5625506</v>
      </c>
      <c r="H346" s="3">
        <f t="shared" si="4"/>
        <v>1.052014931</v>
      </c>
      <c r="I346" s="3">
        <f t="shared" si="5"/>
        <v>9.477335673</v>
      </c>
      <c r="J346" s="3">
        <f t="shared" si="6"/>
        <v>36.08411212</v>
      </c>
      <c r="K346" s="3">
        <f t="shared" si="7"/>
        <v>325.0726136</v>
      </c>
      <c r="L346" s="3">
        <f t="shared" si="8"/>
        <v>0.03067098923</v>
      </c>
      <c r="M346" s="3">
        <f t="shared" si="9"/>
        <v>3.341308317</v>
      </c>
      <c r="N346" s="3">
        <f t="shared" si="10"/>
        <v>1.827924593</v>
      </c>
    </row>
    <row r="347" ht="14.25" customHeight="1">
      <c r="A347" s="3">
        <v>34.4</v>
      </c>
      <c r="B347" s="3">
        <v>300.96</v>
      </c>
      <c r="C347" s="3">
        <v>4.45</v>
      </c>
      <c r="E347" s="3">
        <f t="shared" si="1"/>
        <v>1183.36</v>
      </c>
      <c r="F347" s="3">
        <f t="shared" si="2"/>
        <v>10353.024</v>
      </c>
      <c r="G347" s="3">
        <f t="shared" si="3"/>
        <v>299.4236071</v>
      </c>
      <c r="H347" s="3">
        <f t="shared" si="4"/>
        <v>1.7371544</v>
      </c>
      <c r="I347" s="3">
        <f t="shared" si="5"/>
        <v>15.19808105</v>
      </c>
      <c r="J347" s="3">
        <f t="shared" si="6"/>
        <v>59.75811135</v>
      </c>
      <c r="K347" s="3">
        <f t="shared" si="7"/>
        <v>522.8139881</v>
      </c>
      <c r="L347" s="3">
        <f t="shared" si="8"/>
        <v>0.05049867441</v>
      </c>
      <c r="M347" s="3">
        <f t="shared" si="9"/>
        <v>0.119202287</v>
      </c>
      <c r="N347" s="3">
        <f t="shared" si="10"/>
        <v>0.3452568421</v>
      </c>
    </row>
    <row r="348" ht="14.25" customHeight="1">
      <c r="A348" s="3">
        <v>34.5</v>
      </c>
      <c r="B348" s="3">
        <v>300.67</v>
      </c>
      <c r="C348" s="3">
        <v>6.41</v>
      </c>
      <c r="E348" s="3">
        <f t="shared" si="1"/>
        <v>1190.25</v>
      </c>
      <c r="F348" s="3">
        <f t="shared" si="2"/>
        <v>10373.115</v>
      </c>
      <c r="G348" s="3">
        <f t="shared" si="3"/>
        <v>300.2846635</v>
      </c>
      <c r="H348" s="3">
        <f t="shared" si="4"/>
        <v>0.8396591714</v>
      </c>
      <c r="I348" s="3">
        <f t="shared" si="5"/>
        <v>7.317690524</v>
      </c>
      <c r="J348" s="3">
        <f t="shared" si="6"/>
        <v>28.96824141</v>
      </c>
      <c r="K348" s="3">
        <f t="shared" si="7"/>
        <v>252.4603231</v>
      </c>
      <c r="L348" s="3">
        <f t="shared" si="8"/>
        <v>0.024337947</v>
      </c>
      <c r="M348" s="3">
        <f t="shared" si="9"/>
        <v>0.003613800458</v>
      </c>
      <c r="N348" s="3">
        <f t="shared" si="10"/>
        <v>0.06011489381</v>
      </c>
    </row>
    <row r="349" ht="14.25" customHeight="1">
      <c r="A349" s="3">
        <v>34.6</v>
      </c>
      <c r="B349" s="3">
        <v>300.16</v>
      </c>
      <c r="C349" s="3">
        <v>6.33</v>
      </c>
      <c r="E349" s="3">
        <f t="shared" si="1"/>
        <v>1197.16</v>
      </c>
      <c r="F349" s="3">
        <f t="shared" si="2"/>
        <v>10385.536</v>
      </c>
      <c r="G349" s="3">
        <f t="shared" si="3"/>
        <v>301.14572</v>
      </c>
      <c r="H349" s="3">
        <f t="shared" si="4"/>
        <v>0.8635125995</v>
      </c>
      <c r="I349" s="3">
        <f t="shared" si="5"/>
        <v>7.491096586</v>
      </c>
      <c r="J349" s="3">
        <f t="shared" si="6"/>
        <v>29.87753594</v>
      </c>
      <c r="K349" s="3">
        <f t="shared" si="7"/>
        <v>259.1919419</v>
      </c>
      <c r="L349" s="3">
        <f t="shared" si="8"/>
        <v>0.02495701155</v>
      </c>
      <c r="M349" s="3">
        <f t="shared" si="9"/>
        <v>0.02424932891</v>
      </c>
      <c r="N349" s="3">
        <f t="shared" si="10"/>
        <v>-0.1557219603</v>
      </c>
    </row>
    <row r="350" ht="14.25" customHeight="1">
      <c r="A350" s="3">
        <v>34.7</v>
      </c>
      <c r="B350" s="3">
        <v>300.84</v>
      </c>
      <c r="C350" s="3">
        <v>5.07</v>
      </c>
      <c r="E350" s="3">
        <f t="shared" si="1"/>
        <v>1204.09</v>
      </c>
      <c r="F350" s="3">
        <f t="shared" si="2"/>
        <v>10439.148</v>
      </c>
      <c r="G350" s="3">
        <f t="shared" si="3"/>
        <v>302.0067765</v>
      </c>
      <c r="H350" s="3">
        <f t="shared" si="4"/>
        <v>1.349937172</v>
      </c>
      <c r="I350" s="3">
        <f t="shared" si="5"/>
        <v>11.70360515</v>
      </c>
      <c r="J350" s="3">
        <f t="shared" si="6"/>
        <v>46.84281985</v>
      </c>
      <c r="K350" s="3">
        <f t="shared" si="7"/>
        <v>406.1150987</v>
      </c>
      <c r="L350" s="3">
        <f t="shared" si="8"/>
        <v>0.03890308852</v>
      </c>
      <c r="M350" s="3">
        <f t="shared" si="9"/>
        <v>0.05296139527</v>
      </c>
      <c r="N350" s="3">
        <f t="shared" si="10"/>
        <v>-0.2301334293</v>
      </c>
    </row>
    <row r="351" ht="14.25" customHeight="1">
      <c r="A351" s="3">
        <v>34.8</v>
      </c>
      <c r="B351" s="3">
        <v>296.63</v>
      </c>
      <c r="C351" s="3">
        <v>3.8</v>
      </c>
      <c r="E351" s="3">
        <f t="shared" si="1"/>
        <v>1211.04</v>
      </c>
      <c r="F351" s="3">
        <f t="shared" si="2"/>
        <v>10322.724</v>
      </c>
      <c r="G351" s="3">
        <f t="shared" si="3"/>
        <v>302.867833</v>
      </c>
      <c r="H351" s="3">
        <f t="shared" si="4"/>
        <v>2.409972299</v>
      </c>
      <c r="I351" s="3">
        <f t="shared" si="5"/>
        <v>20.54224377</v>
      </c>
      <c r="J351" s="3">
        <f t="shared" si="6"/>
        <v>83.86703601</v>
      </c>
      <c r="K351" s="3">
        <f t="shared" si="7"/>
        <v>714.8700831</v>
      </c>
      <c r="L351" s="3">
        <f t="shared" si="8"/>
        <v>0.06925207756</v>
      </c>
      <c r="M351" s="3">
        <f t="shared" si="9"/>
        <v>2.694637125</v>
      </c>
      <c r="N351" s="3">
        <f t="shared" si="10"/>
        <v>-1.641534991</v>
      </c>
    </row>
    <row r="352" ht="14.25" customHeight="1">
      <c r="A352" s="3">
        <v>34.9</v>
      </c>
      <c r="B352" s="3">
        <v>309.51</v>
      </c>
      <c r="C352" s="3">
        <v>7.46</v>
      </c>
      <c r="E352" s="3">
        <f t="shared" si="1"/>
        <v>1218.01</v>
      </c>
      <c r="F352" s="3">
        <f t="shared" si="2"/>
        <v>10801.899</v>
      </c>
      <c r="G352" s="3">
        <f t="shared" si="3"/>
        <v>303.7288894</v>
      </c>
      <c r="H352" s="3">
        <f t="shared" si="4"/>
        <v>0.6271158421</v>
      </c>
      <c r="I352" s="3">
        <f t="shared" si="5"/>
        <v>5.561565166</v>
      </c>
      <c r="J352" s="3">
        <f t="shared" si="6"/>
        <v>21.88634289</v>
      </c>
      <c r="K352" s="3">
        <f t="shared" si="7"/>
        <v>194.0986243</v>
      </c>
      <c r="L352" s="3">
        <f t="shared" si="8"/>
        <v>0.0179689353</v>
      </c>
      <c r="M352" s="3">
        <f t="shared" si="9"/>
        <v>0.6005440865</v>
      </c>
      <c r="N352" s="3">
        <f t="shared" si="10"/>
        <v>0.774947796</v>
      </c>
    </row>
    <row r="353" ht="14.25" customHeight="1">
      <c r="A353" s="3">
        <v>35.0</v>
      </c>
      <c r="B353" s="3">
        <v>309.45</v>
      </c>
      <c r="C353" s="3">
        <v>5.17</v>
      </c>
      <c r="E353" s="3">
        <f t="shared" si="1"/>
        <v>1225</v>
      </c>
      <c r="F353" s="3">
        <f t="shared" si="2"/>
        <v>10830.75</v>
      </c>
      <c r="G353" s="3">
        <f t="shared" si="3"/>
        <v>304.5899459</v>
      </c>
      <c r="H353" s="3">
        <f t="shared" si="4"/>
        <v>1.309444085</v>
      </c>
      <c r="I353" s="3">
        <f t="shared" si="5"/>
        <v>11.57735634</v>
      </c>
      <c r="J353" s="3">
        <f t="shared" si="6"/>
        <v>45.83054297</v>
      </c>
      <c r="K353" s="3">
        <f t="shared" si="7"/>
        <v>405.2074721</v>
      </c>
      <c r="L353" s="3">
        <f t="shared" si="8"/>
        <v>0.03741268814</v>
      </c>
      <c r="M353" s="3">
        <f t="shared" si="9"/>
        <v>0.8836923952</v>
      </c>
      <c r="N353" s="3">
        <f t="shared" si="10"/>
        <v>0.9400491451</v>
      </c>
    </row>
    <row r="354" ht="14.25" customHeight="1">
      <c r="A354" s="3">
        <v>35.1</v>
      </c>
      <c r="B354" s="3">
        <v>304.78</v>
      </c>
      <c r="C354" s="3">
        <v>5.96</v>
      </c>
      <c r="E354" s="3">
        <f t="shared" si="1"/>
        <v>1232.01</v>
      </c>
      <c r="F354" s="3">
        <f t="shared" si="2"/>
        <v>10697.778</v>
      </c>
      <c r="G354" s="3">
        <f t="shared" si="3"/>
        <v>305.4510024</v>
      </c>
      <c r="H354" s="3">
        <f t="shared" si="4"/>
        <v>0.9881311653</v>
      </c>
      <c r="I354" s="3">
        <f t="shared" si="5"/>
        <v>8.580131526</v>
      </c>
      <c r="J354" s="3">
        <f t="shared" si="6"/>
        <v>34.6834039</v>
      </c>
      <c r="K354" s="3">
        <f t="shared" si="7"/>
        <v>301.1626165</v>
      </c>
      <c r="L354" s="3">
        <f t="shared" si="8"/>
        <v>0.02815188505</v>
      </c>
      <c r="M354" s="3">
        <f t="shared" si="9"/>
        <v>0.01267522347</v>
      </c>
      <c r="N354" s="3">
        <f t="shared" si="10"/>
        <v>-0.1125842949</v>
      </c>
    </row>
    <row r="355" ht="14.25" customHeight="1">
      <c r="A355" s="3">
        <v>35.2</v>
      </c>
      <c r="B355" s="3">
        <v>303.18</v>
      </c>
      <c r="C355" s="3">
        <v>6.55</v>
      </c>
      <c r="E355" s="3">
        <f t="shared" si="1"/>
        <v>1239.04</v>
      </c>
      <c r="F355" s="3">
        <f t="shared" si="2"/>
        <v>10671.936</v>
      </c>
      <c r="G355" s="3">
        <f t="shared" si="3"/>
        <v>306.3120589</v>
      </c>
      <c r="H355" s="3">
        <f t="shared" si="4"/>
        <v>0.8204650079</v>
      </c>
      <c r="I355" s="3">
        <f t="shared" si="5"/>
        <v>7.066721054</v>
      </c>
      <c r="J355" s="3">
        <f t="shared" si="6"/>
        <v>28.88036828</v>
      </c>
      <c r="K355" s="3">
        <f t="shared" si="7"/>
        <v>248.7485811</v>
      </c>
      <c r="L355" s="3">
        <f t="shared" si="8"/>
        <v>0.023308665</v>
      </c>
      <c r="M355" s="3">
        <f t="shared" si="9"/>
        <v>0.2286531741</v>
      </c>
      <c r="N355" s="3">
        <f t="shared" si="10"/>
        <v>-0.4781769276</v>
      </c>
    </row>
    <row r="356" ht="14.25" customHeight="1">
      <c r="A356" s="3">
        <v>35.3</v>
      </c>
      <c r="B356" s="3">
        <v>302.19</v>
      </c>
      <c r="C356" s="3">
        <v>5.11</v>
      </c>
      <c r="E356" s="3">
        <f t="shared" si="1"/>
        <v>1246.09</v>
      </c>
      <c r="F356" s="3">
        <f t="shared" si="2"/>
        <v>10667.307</v>
      </c>
      <c r="G356" s="3">
        <f t="shared" si="3"/>
        <v>307.1731154</v>
      </c>
      <c r="H356" s="3">
        <f t="shared" si="4"/>
        <v>1.351863695</v>
      </c>
      <c r="I356" s="3">
        <f t="shared" si="5"/>
        <v>11.57279575</v>
      </c>
      <c r="J356" s="3">
        <f t="shared" si="6"/>
        <v>47.72078845</v>
      </c>
      <c r="K356" s="3">
        <f t="shared" si="7"/>
        <v>408.5196901</v>
      </c>
      <c r="L356" s="3">
        <f t="shared" si="8"/>
        <v>0.03829642197</v>
      </c>
      <c r="M356" s="3">
        <f t="shared" si="9"/>
        <v>0.9509552517</v>
      </c>
      <c r="N356" s="3">
        <f t="shared" si="10"/>
        <v>-0.9751693451</v>
      </c>
    </row>
    <row r="357" ht="14.25" customHeight="1">
      <c r="A357" s="3">
        <v>35.4</v>
      </c>
      <c r="B357" s="3">
        <v>304.47</v>
      </c>
      <c r="C357" s="3">
        <v>4.02</v>
      </c>
      <c r="E357" s="3">
        <f t="shared" si="1"/>
        <v>1253.16</v>
      </c>
      <c r="F357" s="3">
        <f t="shared" si="2"/>
        <v>10778.238</v>
      </c>
      <c r="G357" s="3">
        <f t="shared" si="3"/>
        <v>308.0341718</v>
      </c>
      <c r="H357" s="3">
        <f t="shared" si="4"/>
        <v>2.190539838</v>
      </c>
      <c r="I357" s="3">
        <f t="shared" si="5"/>
        <v>18.840499</v>
      </c>
      <c r="J357" s="3">
        <f t="shared" si="6"/>
        <v>77.54511027</v>
      </c>
      <c r="K357" s="3">
        <f t="shared" si="7"/>
        <v>666.9536645</v>
      </c>
      <c r="L357" s="3">
        <f t="shared" si="8"/>
        <v>0.06187965644</v>
      </c>
      <c r="M357" s="3">
        <f t="shared" si="9"/>
        <v>0.7860771295</v>
      </c>
      <c r="N357" s="3">
        <f t="shared" si="10"/>
        <v>-0.8866099083</v>
      </c>
    </row>
    <row r="358" ht="14.25" customHeight="1">
      <c r="A358" s="3">
        <v>35.5</v>
      </c>
      <c r="B358" s="3">
        <v>309.76</v>
      </c>
      <c r="C358" s="3">
        <v>3.5</v>
      </c>
      <c r="E358" s="3">
        <f t="shared" si="1"/>
        <v>1260.25</v>
      </c>
      <c r="F358" s="3">
        <f t="shared" si="2"/>
        <v>10996.48</v>
      </c>
      <c r="G358" s="3">
        <f t="shared" si="3"/>
        <v>308.8952283</v>
      </c>
      <c r="H358" s="3">
        <f t="shared" si="4"/>
        <v>2.897959184</v>
      </c>
      <c r="I358" s="3">
        <f t="shared" si="5"/>
        <v>25.28653061</v>
      </c>
      <c r="J358" s="3">
        <f t="shared" si="6"/>
        <v>102.877551</v>
      </c>
      <c r="K358" s="3">
        <f t="shared" si="7"/>
        <v>897.6718367</v>
      </c>
      <c r="L358" s="3">
        <f t="shared" si="8"/>
        <v>0.08163265306</v>
      </c>
      <c r="M358" s="3">
        <f t="shared" si="9"/>
        <v>0.06104735323</v>
      </c>
      <c r="N358" s="3">
        <f t="shared" si="10"/>
        <v>0.2470776259</v>
      </c>
    </row>
    <row r="359" ht="14.25" customHeight="1">
      <c r="A359" s="3">
        <v>35.6</v>
      </c>
      <c r="B359" s="3">
        <v>310.96</v>
      </c>
      <c r="C359" s="3">
        <v>6.36</v>
      </c>
      <c r="E359" s="3">
        <f t="shared" si="1"/>
        <v>1267.36</v>
      </c>
      <c r="F359" s="3">
        <f t="shared" si="2"/>
        <v>11070.176</v>
      </c>
      <c r="G359" s="3">
        <f t="shared" si="3"/>
        <v>309.7562848</v>
      </c>
      <c r="H359" s="3">
        <f t="shared" si="4"/>
        <v>0.8801075907</v>
      </c>
      <c r="I359" s="3">
        <f t="shared" si="5"/>
        <v>7.687591472</v>
      </c>
      <c r="J359" s="3">
        <f t="shared" si="6"/>
        <v>31.33183023</v>
      </c>
      <c r="K359" s="3">
        <f t="shared" si="7"/>
        <v>273.6782564</v>
      </c>
      <c r="L359" s="3">
        <f t="shared" si="8"/>
        <v>0.02472212333</v>
      </c>
      <c r="M359" s="3">
        <f t="shared" si="9"/>
        <v>0.03582063392</v>
      </c>
      <c r="N359" s="3">
        <f t="shared" si="10"/>
        <v>0.1892633982</v>
      </c>
    </row>
    <row r="360" ht="14.25" customHeight="1">
      <c r="A360" s="3">
        <v>35.7</v>
      </c>
      <c r="B360" s="3">
        <v>307.64</v>
      </c>
      <c r="C360" s="3">
        <v>7.87</v>
      </c>
      <c r="E360" s="3">
        <f t="shared" si="1"/>
        <v>1274.49</v>
      </c>
      <c r="F360" s="3">
        <f t="shared" si="2"/>
        <v>10982.748</v>
      </c>
      <c r="G360" s="3">
        <f t="shared" si="3"/>
        <v>310.6173413</v>
      </c>
      <c r="H360" s="3">
        <f t="shared" si="4"/>
        <v>0.576393071</v>
      </c>
      <c r="I360" s="3">
        <f t="shared" si="5"/>
        <v>4.966990598</v>
      </c>
      <c r="J360" s="3">
        <f t="shared" si="6"/>
        <v>20.57723264</v>
      </c>
      <c r="K360" s="3">
        <f t="shared" si="7"/>
        <v>177.3215644</v>
      </c>
      <c r="L360" s="3">
        <f t="shared" si="8"/>
        <v>0.01614546417</v>
      </c>
      <c r="M360" s="3">
        <f t="shared" si="9"/>
        <v>0.1431224522</v>
      </c>
      <c r="N360" s="3">
        <f t="shared" si="10"/>
        <v>-0.3783152815</v>
      </c>
    </row>
    <row r="361" ht="14.25" customHeight="1">
      <c r="A361" s="3">
        <v>35.8</v>
      </c>
      <c r="B361" s="3">
        <v>300.62</v>
      </c>
      <c r="C361" s="3">
        <v>9.31</v>
      </c>
      <c r="E361" s="3">
        <f t="shared" si="1"/>
        <v>1281.64</v>
      </c>
      <c r="F361" s="3">
        <f t="shared" si="2"/>
        <v>10762.196</v>
      </c>
      <c r="G361" s="3">
        <f t="shared" si="3"/>
        <v>311.4783977</v>
      </c>
      <c r="H361" s="3">
        <f t="shared" si="4"/>
        <v>0.4130319661</v>
      </c>
      <c r="I361" s="3">
        <f t="shared" si="5"/>
        <v>3.468314795</v>
      </c>
      <c r="J361" s="3">
        <f t="shared" si="6"/>
        <v>14.78654439</v>
      </c>
      <c r="K361" s="3">
        <f t="shared" si="7"/>
        <v>124.1656697</v>
      </c>
      <c r="L361" s="3">
        <f t="shared" si="8"/>
        <v>0.01153720576</v>
      </c>
      <c r="M361" s="3">
        <f t="shared" si="9"/>
        <v>1.360291955</v>
      </c>
      <c r="N361" s="3">
        <f t="shared" si="10"/>
        <v>-1.166315547</v>
      </c>
    </row>
    <row r="362" ht="14.25" customHeight="1">
      <c r="A362" s="3">
        <v>35.9</v>
      </c>
      <c r="B362" s="3">
        <v>311.01</v>
      </c>
      <c r="C362" s="3">
        <v>7.38</v>
      </c>
      <c r="E362" s="3">
        <f t="shared" si="1"/>
        <v>1288.81</v>
      </c>
      <c r="F362" s="3">
        <f t="shared" si="2"/>
        <v>11165.259</v>
      </c>
      <c r="G362" s="3">
        <f t="shared" si="3"/>
        <v>312.3394542</v>
      </c>
      <c r="H362" s="3">
        <f t="shared" si="4"/>
        <v>0.6591461579</v>
      </c>
      <c r="I362" s="3">
        <f t="shared" si="5"/>
        <v>5.710335559</v>
      </c>
      <c r="J362" s="3">
        <f t="shared" si="6"/>
        <v>23.66334707</v>
      </c>
      <c r="K362" s="3">
        <f t="shared" si="7"/>
        <v>205.0010466</v>
      </c>
      <c r="L362" s="3">
        <f t="shared" si="8"/>
        <v>0.01836061721</v>
      </c>
      <c r="M362" s="3">
        <f t="shared" si="9"/>
        <v>0.03245144581</v>
      </c>
      <c r="N362" s="3">
        <f t="shared" si="10"/>
        <v>-0.1801428483</v>
      </c>
    </row>
    <row r="363" ht="14.25" customHeight="1">
      <c r="A363" s="3">
        <v>36.0</v>
      </c>
      <c r="B363" s="3">
        <v>310.91</v>
      </c>
      <c r="C363" s="3">
        <v>4.72</v>
      </c>
      <c r="E363" s="3">
        <f t="shared" si="1"/>
        <v>1296</v>
      </c>
      <c r="F363" s="3">
        <f t="shared" si="2"/>
        <v>11192.76</v>
      </c>
      <c r="G363" s="3">
        <f t="shared" si="3"/>
        <v>313.2005107</v>
      </c>
      <c r="H363" s="3">
        <f t="shared" si="4"/>
        <v>1.615914967</v>
      </c>
      <c r="I363" s="3">
        <f t="shared" si="5"/>
        <v>13.95567007</v>
      </c>
      <c r="J363" s="3">
        <f t="shared" si="6"/>
        <v>58.17293881</v>
      </c>
      <c r="K363" s="3">
        <f t="shared" si="7"/>
        <v>502.4041224</v>
      </c>
      <c r="L363" s="3">
        <f t="shared" si="8"/>
        <v>0.04488652686</v>
      </c>
      <c r="M363" s="3">
        <f t="shared" si="9"/>
        <v>0.2354944368</v>
      </c>
      <c r="N363" s="3">
        <f t="shared" si="10"/>
        <v>-0.4852776904</v>
      </c>
    </row>
    <row r="364" ht="14.25" customHeight="1">
      <c r="A364" s="3">
        <v>36.1</v>
      </c>
      <c r="B364" s="3">
        <v>314.6</v>
      </c>
      <c r="C364" s="3">
        <v>5.8</v>
      </c>
      <c r="E364" s="3">
        <f t="shared" si="1"/>
        <v>1303.21</v>
      </c>
      <c r="F364" s="3">
        <f t="shared" si="2"/>
        <v>11357.06</v>
      </c>
      <c r="G364" s="3">
        <f t="shared" si="3"/>
        <v>314.0615672</v>
      </c>
      <c r="H364" s="3">
        <f t="shared" si="4"/>
        <v>1.073127229</v>
      </c>
      <c r="I364" s="3">
        <f t="shared" si="5"/>
        <v>9.35196195</v>
      </c>
      <c r="J364" s="3">
        <f t="shared" si="6"/>
        <v>38.73989298</v>
      </c>
      <c r="K364" s="3">
        <f t="shared" si="7"/>
        <v>337.6058264</v>
      </c>
      <c r="L364" s="3">
        <f t="shared" si="8"/>
        <v>0.02972651605</v>
      </c>
      <c r="M364" s="3">
        <f t="shared" si="9"/>
        <v>0.008618011458</v>
      </c>
      <c r="N364" s="3">
        <f t="shared" si="10"/>
        <v>0.09283324544</v>
      </c>
    </row>
    <row r="365" ht="14.25" customHeight="1">
      <c r="A365" s="3">
        <v>36.2</v>
      </c>
      <c r="B365" s="3">
        <v>307.23</v>
      </c>
      <c r="C365" s="3">
        <v>4.43</v>
      </c>
      <c r="E365" s="3">
        <f t="shared" si="1"/>
        <v>1310.44</v>
      </c>
      <c r="F365" s="3">
        <f t="shared" si="2"/>
        <v>11121.726</v>
      </c>
      <c r="G365" s="3">
        <f t="shared" si="3"/>
        <v>314.9226237</v>
      </c>
      <c r="H365" s="3">
        <f t="shared" si="4"/>
        <v>1.844595386</v>
      </c>
      <c r="I365" s="3">
        <f t="shared" si="5"/>
        <v>15.65511162</v>
      </c>
      <c r="J365" s="3">
        <f t="shared" si="6"/>
        <v>66.77435299</v>
      </c>
      <c r="K365" s="3">
        <f t="shared" si="7"/>
        <v>566.7150406</v>
      </c>
      <c r="L365" s="3">
        <f t="shared" si="8"/>
        <v>0.05095567366</v>
      </c>
      <c r="M365" s="3">
        <f t="shared" si="9"/>
        <v>3.015376317</v>
      </c>
      <c r="N365" s="3">
        <f t="shared" si="10"/>
        <v>-1.736483895</v>
      </c>
    </row>
    <row r="366" ht="14.25" customHeight="1">
      <c r="A366" s="3">
        <v>36.3</v>
      </c>
      <c r="B366" s="3">
        <v>295.07</v>
      </c>
      <c r="C366" s="3">
        <v>8.56</v>
      </c>
      <c r="E366" s="3">
        <f t="shared" si="1"/>
        <v>1317.69</v>
      </c>
      <c r="F366" s="3">
        <f t="shared" si="2"/>
        <v>10711.041</v>
      </c>
      <c r="G366" s="3">
        <f t="shared" si="3"/>
        <v>315.7836801</v>
      </c>
      <c r="H366" s="3">
        <f t="shared" si="4"/>
        <v>0.4954035287</v>
      </c>
      <c r="I366" s="3">
        <f t="shared" si="5"/>
        <v>4.026961962</v>
      </c>
      <c r="J366" s="3">
        <f t="shared" si="6"/>
        <v>17.98314809</v>
      </c>
      <c r="K366" s="3">
        <f t="shared" si="7"/>
        <v>146.1787192</v>
      </c>
      <c r="L366" s="3">
        <f t="shared" si="8"/>
        <v>0.01364748013</v>
      </c>
      <c r="M366" s="3">
        <f t="shared" si="9"/>
        <v>5.855540667</v>
      </c>
      <c r="N366" s="3">
        <f t="shared" si="10"/>
        <v>-2.419822445</v>
      </c>
    </row>
    <row r="367" ht="14.25" customHeight="1">
      <c r="A367" s="3">
        <v>36.4</v>
      </c>
      <c r="B367" s="3">
        <v>321.32</v>
      </c>
      <c r="C367" s="3">
        <v>7.32</v>
      </c>
      <c r="E367" s="3">
        <f t="shared" si="1"/>
        <v>1324.96</v>
      </c>
      <c r="F367" s="3">
        <f t="shared" si="2"/>
        <v>11696.048</v>
      </c>
      <c r="G367" s="3">
        <f t="shared" si="3"/>
        <v>316.6447366</v>
      </c>
      <c r="H367" s="3">
        <f t="shared" si="4"/>
        <v>0.6793275404</v>
      </c>
      <c r="I367" s="3">
        <f t="shared" si="5"/>
        <v>5.9967452</v>
      </c>
      <c r="J367" s="3">
        <f t="shared" si="6"/>
        <v>24.72752247</v>
      </c>
      <c r="K367" s="3">
        <f t="shared" si="7"/>
        <v>218.2815253</v>
      </c>
      <c r="L367" s="3">
        <f t="shared" si="8"/>
        <v>0.01866284452</v>
      </c>
      <c r="M367" s="3">
        <f t="shared" si="9"/>
        <v>0.4079340934</v>
      </c>
      <c r="N367" s="3">
        <f t="shared" si="10"/>
        <v>0.6386971844</v>
      </c>
    </row>
    <row r="368" ht="14.25" customHeight="1">
      <c r="A368" s="3">
        <v>36.5</v>
      </c>
      <c r="B368" s="3">
        <v>321.94</v>
      </c>
      <c r="C368" s="3">
        <v>7.09</v>
      </c>
      <c r="E368" s="3">
        <f t="shared" si="1"/>
        <v>1332.25</v>
      </c>
      <c r="F368" s="3">
        <f t="shared" si="2"/>
        <v>11750.81</v>
      </c>
      <c r="G368" s="3">
        <f t="shared" si="3"/>
        <v>317.5057931</v>
      </c>
      <c r="H368" s="3">
        <f t="shared" si="4"/>
        <v>0.7261066163</v>
      </c>
      <c r="I368" s="3">
        <f t="shared" si="5"/>
        <v>6.404459289</v>
      </c>
      <c r="J368" s="3">
        <f t="shared" si="6"/>
        <v>26.5028915</v>
      </c>
      <c r="K368" s="3">
        <f t="shared" si="7"/>
        <v>233.7627641</v>
      </c>
      <c r="L368" s="3">
        <f t="shared" si="8"/>
        <v>0.01989333195</v>
      </c>
      <c r="M368" s="3">
        <f t="shared" si="9"/>
        <v>0.3911464913</v>
      </c>
      <c r="N368" s="3">
        <f t="shared" si="10"/>
        <v>0.6254170539</v>
      </c>
    </row>
    <row r="369" ht="14.25" customHeight="1">
      <c r="A369" s="3">
        <v>36.6</v>
      </c>
      <c r="B369" s="3">
        <v>318.93</v>
      </c>
      <c r="C369" s="3">
        <v>9.0</v>
      </c>
      <c r="E369" s="3">
        <f t="shared" si="1"/>
        <v>1339.56</v>
      </c>
      <c r="F369" s="3">
        <f t="shared" si="2"/>
        <v>11672.838</v>
      </c>
      <c r="G369" s="3">
        <f t="shared" si="3"/>
        <v>318.3668496</v>
      </c>
      <c r="H369" s="3">
        <f t="shared" si="4"/>
        <v>0.4518518519</v>
      </c>
      <c r="I369" s="3">
        <f t="shared" si="5"/>
        <v>3.937407407</v>
      </c>
      <c r="J369" s="3">
        <f t="shared" si="6"/>
        <v>16.53777778</v>
      </c>
      <c r="K369" s="3">
        <f t="shared" si="7"/>
        <v>144.1091111</v>
      </c>
      <c r="L369" s="3">
        <f t="shared" si="8"/>
        <v>0.01234567901</v>
      </c>
      <c r="M369" s="3">
        <f t="shared" si="9"/>
        <v>0.003915289032</v>
      </c>
      <c r="N369" s="3">
        <f t="shared" si="10"/>
        <v>0.06257227047</v>
      </c>
    </row>
    <row r="370" ht="14.25" customHeight="1">
      <c r="A370" s="3">
        <v>36.7</v>
      </c>
      <c r="B370" s="3">
        <v>316.04</v>
      </c>
      <c r="C370" s="3">
        <v>7.14</v>
      </c>
      <c r="E370" s="3">
        <f t="shared" si="1"/>
        <v>1346.89</v>
      </c>
      <c r="F370" s="3">
        <f t="shared" si="2"/>
        <v>11598.668</v>
      </c>
      <c r="G370" s="3">
        <f t="shared" si="3"/>
        <v>319.227906</v>
      </c>
      <c r="H370" s="3">
        <f t="shared" si="4"/>
        <v>0.7198958015</v>
      </c>
      <c r="I370" s="3">
        <f t="shared" si="5"/>
        <v>6.199342482</v>
      </c>
      <c r="J370" s="3">
        <f t="shared" si="6"/>
        <v>26.42017591</v>
      </c>
      <c r="K370" s="3">
        <f t="shared" si="7"/>
        <v>227.5158691</v>
      </c>
      <c r="L370" s="3">
        <f t="shared" si="8"/>
        <v>0.01961568941</v>
      </c>
      <c r="M370" s="3">
        <f t="shared" si="9"/>
        <v>0.1993492484</v>
      </c>
      <c r="N370" s="3">
        <f t="shared" si="10"/>
        <v>-0.4464854403</v>
      </c>
    </row>
    <row r="371" ht="14.25" customHeight="1">
      <c r="A371" s="3">
        <v>36.8</v>
      </c>
      <c r="B371" s="3">
        <v>329.21</v>
      </c>
      <c r="C371" s="3">
        <v>8.79</v>
      </c>
      <c r="E371" s="3">
        <f t="shared" si="1"/>
        <v>1354.24</v>
      </c>
      <c r="F371" s="3">
        <f t="shared" si="2"/>
        <v>12114.928</v>
      </c>
      <c r="G371" s="3">
        <f t="shared" si="3"/>
        <v>320.0889625</v>
      </c>
      <c r="H371" s="3">
        <f t="shared" si="4"/>
        <v>0.4762884703</v>
      </c>
      <c r="I371" s="3">
        <f t="shared" si="5"/>
        <v>4.260840416</v>
      </c>
      <c r="J371" s="3">
        <f t="shared" si="6"/>
        <v>17.52741571</v>
      </c>
      <c r="K371" s="3">
        <f t="shared" si="7"/>
        <v>156.7989273</v>
      </c>
      <c r="L371" s="3">
        <f t="shared" si="8"/>
        <v>0.01294262148</v>
      </c>
      <c r="M371" s="3">
        <f t="shared" si="9"/>
        <v>1.076739711</v>
      </c>
      <c r="N371" s="3">
        <f t="shared" si="10"/>
        <v>1.037660692</v>
      </c>
    </row>
    <row r="372" ht="14.25" customHeight="1">
      <c r="A372" s="3">
        <v>36.9</v>
      </c>
      <c r="B372" s="3">
        <v>319.71</v>
      </c>
      <c r="C372" s="3">
        <v>8.34</v>
      </c>
      <c r="E372" s="3">
        <f t="shared" si="1"/>
        <v>1361.61</v>
      </c>
      <c r="F372" s="3">
        <f t="shared" si="2"/>
        <v>11797.299</v>
      </c>
      <c r="G372" s="3">
        <f t="shared" si="3"/>
        <v>320.950019</v>
      </c>
      <c r="H372" s="3">
        <f t="shared" si="4"/>
        <v>0.5305108431</v>
      </c>
      <c r="I372" s="3">
        <f t="shared" si="5"/>
        <v>4.596466712</v>
      </c>
      <c r="J372" s="3">
        <f t="shared" si="6"/>
        <v>19.57585011</v>
      </c>
      <c r="K372" s="3">
        <f t="shared" si="7"/>
        <v>169.6096217</v>
      </c>
      <c r="L372" s="3">
        <f t="shared" si="8"/>
        <v>0.01437698762</v>
      </c>
      <c r="M372" s="3">
        <f t="shared" si="9"/>
        <v>0.02210673359</v>
      </c>
      <c r="N372" s="3">
        <f t="shared" si="10"/>
        <v>-0.1486833333</v>
      </c>
    </row>
    <row r="373" ht="14.25" customHeight="1">
      <c r="A373" s="3">
        <v>37.0</v>
      </c>
      <c r="B373" s="3">
        <v>310.26</v>
      </c>
      <c r="C373" s="3">
        <v>7.3</v>
      </c>
      <c r="E373" s="3">
        <f t="shared" si="1"/>
        <v>1369</v>
      </c>
      <c r="F373" s="3">
        <f t="shared" si="2"/>
        <v>11479.62</v>
      </c>
      <c r="G373" s="3">
        <f t="shared" si="3"/>
        <v>321.8110755</v>
      </c>
      <c r="H373" s="3">
        <f t="shared" si="4"/>
        <v>0.6943141302</v>
      </c>
      <c r="I373" s="3">
        <f t="shared" si="5"/>
        <v>5.822105461</v>
      </c>
      <c r="J373" s="3">
        <f t="shared" si="6"/>
        <v>25.68962282</v>
      </c>
      <c r="K373" s="3">
        <f t="shared" si="7"/>
        <v>215.417902</v>
      </c>
      <c r="L373" s="3">
        <f t="shared" si="8"/>
        <v>0.01876524676</v>
      </c>
      <c r="M373" s="3">
        <f t="shared" si="9"/>
        <v>2.503797048</v>
      </c>
      <c r="N373" s="3">
        <f t="shared" si="10"/>
        <v>-1.582339106</v>
      </c>
    </row>
    <row r="374" ht="14.25" customHeight="1">
      <c r="A374" s="3">
        <v>37.1</v>
      </c>
      <c r="B374" s="3">
        <v>320.83</v>
      </c>
      <c r="C374" s="3">
        <v>6.69</v>
      </c>
      <c r="E374" s="3">
        <f t="shared" si="1"/>
        <v>1376.41</v>
      </c>
      <c r="F374" s="3">
        <f t="shared" si="2"/>
        <v>11902.793</v>
      </c>
      <c r="G374" s="3">
        <f t="shared" si="3"/>
        <v>322.672132</v>
      </c>
      <c r="H374" s="3">
        <f t="shared" si="4"/>
        <v>0.8289372845</v>
      </c>
      <c r="I374" s="3">
        <f t="shared" si="5"/>
        <v>7.168408329</v>
      </c>
      <c r="J374" s="3">
        <f t="shared" si="6"/>
        <v>30.75357326</v>
      </c>
      <c r="K374" s="3">
        <f t="shared" si="7"/>
        <v>265.947949</v>
      </c>
      <c r="L374" s="3">
        <f t="shared" si="8"/>
        <v>0.02234332303</v>
      </c>
      <c r="M374" s="3">
        <f t="shared" si="9"/>
        <v>0.07582095267</v>
      </c>
      <c r="N374" s="3">
        <f t="shared" si="10"/>
        <v>-0.2753560471</v>
      </c>
    </row>
    <row r="375" ht="14.25" customHeight="1">
      <c r="A375" s="3">
        <v>37.2</v>
      </c>
      <c r="B375" s="3">
        <v>322.17</v>
      </c>
      <c r="C375" s="3">
        <v>9.42</v>
      </c>
      <c r="E375" s="3">
        <f t="shared" si="1"/>
        <v>1383.84</v>
      </c>
      <c r="F375" s="3">
        <f t="shared" si="2"/>
        <v>11984.724</v>
      </c>
      <c r="G375" s="3">
        <f t="shared" si="3"/>
        <v>323.5331884</v>
      </c>
      <c r="H375" s="3">
        <f t="shared" si="4"/>
        <v>0.4192191705</v>
      </c>
      <c r="I375" s="3">
        <f t="shared" si="5"/>
        <v>3.630640864</v>
      </c>
      <c r="J375" s="3">
        <f t="shared" si="6"/>
        <v>15.59495314</v>
      </c>
      <c r="K375" s="3">
        <f t="shared" si="7"/>
        <v>135.0598402</v>
      </c>
      <c r="L375" s="3">
        <f t="shared" si="8"/>
        <v>0.01126933254</v>
      </c>
      <c r="M375" s="3">
        <f t="shared" si="9"/>
        <v>0.02094160574</v>
      </c>
      <c r="N375" s="3">
        <f t="shared" si="10"/>
        <v>-0.1447121479</v>
      </c>
    </row>
    <row r="376" ht="14.25" customHeight="1">
      <c r="A376" s="3">
        <v>37.3</v>
      </c>
      <c r="B376" s="3">
        <v>325.83</v>
      </c>
      <c r="C376" s="3">
        <v>9.09</v>
      </c>
      <c r="E376" s="3">
        <f t="shared" si="1"/>
        <v>1391.29</v>
      </c>
      <c r="F376" s="3">
        <f t="shared" si="2"/>
        <v>12153.459</v>
      </c>
      <c r="G376" s="3">
        <f t="shared" si="3"/>
        <v>324.3942449</v>
      </c>
      <c r="H376" s="3">
        <f t="shared" si="4"/>
        <v>0.4514202795</v>
      </c>
      <c r="I376" s="3">
        <f t="shared" si="5"/>
        <v>3.943331627</v>
      </c>
      <c r="J376" s="3">
        <f t="shared" si="6"/>
        <v>16.83797643</v>
      </c>
      <c r="K376" s="3">
        <f t="shared" si="7"/>
        <v>147.0862697</v>
      </c>
      <c r="L376" s="3">
        <f t="shared" si="8"/>
        <v>0.01210242036</v>
      </c>
      <c r="M376" s="3">
        <f t="shared" si="9"/>
        <v>0.0249478407</v>
      </c>
      <c r="N376" s="3">
        <f t="shared" si="10"/>
        <v>0.1579488547</v>
      </c>
    </row>
    <row r="377" ht="14.25" customHeight="1">
      <c r="A377" s="3">
        <v>37.4</v>
      </c>
      <c r="B377" s="3">
        <v>337.74</v>
      </c>
      <c r="C377" s="3">
        <v>8.58</v>
      </c>
      <c r="E377" s="3">
        <f t="shared" si="1"/>
        <v>1398.76</v>
      </c>
      <c r="F377" s="3">
        <f t="shared" si="2"/>
        <v>12631.476</v>
      </c>
      <c r="G377" s="3">
        <f t="shared" si="3"/>
        <v>325.2553014</v>
      </c>
      <c r="H377" s="3">
        <f t="shared" si="4"/>
        <v>0.5080389696</v>
      </c>
      <c r="I377" s="3">
        <f t="shared" si="5"/>
        <v>4.587836406</v>
      </c>
      <c r="J377" s="3">
        <f t="shared" si="6"/>
        <v>19.00065746</v>
      </c>
      <c r="K377" s="3">
        <f t="shared" si="7"/>
        <v>171.5850816</v>
      </c>
      <c r="L377" s="3">
        <f t="shared" si="8"/>
        <v>0.01358392967</v>
      </c>
      <c r="M377" s="3">
        <f t="shared" si="9"/>
        <v>2.117295866</v>
      </c>
      <c r="N377" s="3">
        <f t="shared" si="10"/>
        <v>1.455093078</v>
      </c>
    </row>
    <row r="378" ht="14.25" customHeight="1">
      <c r="A378" s="3">
        <v>37.5</v>
      </c>
      <c r="B378" s="3">
        <v>319.12</v>
      </c>
      <c r="C378" s="3">
        <v>7.36</v>
      </c>
      <c r="E378" s="3">
        <f t="shared" si="1"/>
        <v>1406.25</v>
      </c>
      <c r="F378" s="3">
        <f t="shared" si="2"/>
        <v>11967</v>
      </c>
      <c r="G378" s="3">
        <f t="shared" si="3"/>
        <v>326.1163579</v>
      </c>
      <c r="H378" s="3">
        <f t="shared" si="4"/>
        <v>0.6922702032</v>
      </c>
      <c r="I378" s="3">
        <f t="shared" si="5"/>
        <v>5.891127127</v>
      </c>
      <c r="J378" s="3">
        <f t="shared" si="6"/>
        <v>25.96013262</v>
      </c>
      <c r="K378" s="3">
        <f t="shared" si="7"/>
        <v>220.9172672</v>
      </c>
      <c r="L378" s="3">
        <f t="shared" si="8"/>
        <v>0.01846053875</v>
      </c>
      <c r="M378" s="3">
        <f t="shared" si="9"/>
        <v>0.9036253433</v>
      </c>
      <c r="N378" s="3">
        <f t="shared" si="10"/>
        <v>-0.9505921014</v>
      </c>
    </row>
    <row r="379" ht="14.25" customHeight="1">
      <c r="A379" s="3">
        <v>37.6</v>
      </c>
      <c r="B379" s="3">
        <v>331.98</v>
      </c>
      <c r="C379" s="3">
        <v>6.07</v>
      </c>
      <c r="E379" s="3">
        <f t="shared" si="1"/>
        <v>1413.76</v>
      </c>
      <c r="F379" s="3">
        <f t="shared" si="2"/>
        <v>12482.448</v>
      </c>
      <c r="G379" s="3">
        <f t="shared" si="3"/>
        <v>326.9774143</v>
      </c>
      <c r="H379" s="3">
        <f t="shared" si="4"/>
        <v>1.020494017</v>
      </c>
      <c r="I379" s="3">
        <f t="shared" si="5"/>
        <v>9.010202226</v>
      </c>
      <c r="J379" s="3">
        <f t="shared" si="6"/>
        <v>38.37057503</v>
      </c>
      <c r="K379" s="3">
        <f t="shared" si="7"/>
        <v>338.7836037</v>
      </c>
      <c r="L379" s="3">
        <f t="shared" si="8"/>
        <v>0.02714079832</v>
      </c>
      <c r="M379" s="3">
        <f t="shared" si="9"/>
        <v>0.679221907</v>
      </c>
      <c r="N379" s="3">
        <f t="shared" si="10"/>
        <v>0.8241492019</v>
      </c>
    </row>
    <row r="380" ht="14.25" customHeight="1">
      <c r="A380" s="3">
        <v>37.7</v>
      </c>
      <c r="B380" s="3">
        <v>340.39</v>
      </c>
      <c r="C380" s="3">
        <v>6.46</v>
      </c>
      <c r="E380" s="3">
        <f t="shared" si="1"/>
        <v>1421.29</v>
      </c>
      <c r="F380" s="3">
        <f t="shared" si="2"/>
        <v>12832.703</v>
      </c>
      <c r="G380" s="3">
        <f t="shared" si="3"/>
        <v>327.8384708</v>
      </c>
      <c r="H380" s="3">
        <f t="shared" si="4"/>
        <v>0.9033921537</v>
      </c>
      <c r="I380" s="3">
        <f t="shared" si="5"/>
        <v>8.156648679</v>
      </c>
      <c r="J380" s="3">
        <f t="shared" si="6"/>
        <v>34.05788419</v>
      </c>
      <c r="K380" s="3">
        <f t="shared" si="7"/>
        <v>307.5056552</v>
      </c>
      <c r="L380" s="3">
        <f t="shared" si="8"/>
        <v>0.0239626566</v>
      </c>
      <c r="M380" s="3">
        <f t="shared" si="9"/>
        <v>3.77509812</v>
      </c>
      <c r="N380" s="3">
        <f t="shared" si="10"/>
        <v>1.942961173</v>
      </c>
    </row>
    <row r="381" ht="14.25" customHeight="1">
      <c r="A381" s="3">
        <v>37.8</v>
      </c>
      <c r="B381" s="3">
        <v>327.85</v>
      </c>
      <c r="C381" s="3">
        <v>8.59</v>
      </c>
      <c r="E381" s="3">
        <f t="shared" si="1"/>
        <v>1428.84</v>
      </c>
      <c r="F381" s="3">
        <f t="shared" si="2"/>
        <v>12392.73</v>
      </c>
      <c r="G381" s="3">
        <f t="shared" si="3"/>
        <v>328.6995273</v>
      </c>
      <c r="H381" s="3">
        <f t="shared" si="4"/>
        <v>0.512277725</v>
      </c>
      <c r="I381" s="3">
        <f t="shared" si="5"/>
        <v>4.443128364</v>
      </c>
      <c r="J381" s="3">
        <f t="shared" si="6"/>
        <v>19.364098</v>
      </c>
      <c r="K381" s="3">
        <f t="shared" si="7"/>
        <v>167.9502521</v>
      </c>
      <c r="L381" s="3">
        <f t="shared" si="8"/>
        <v>0.01355232077</v>
      </c>
      <c r="M381" s="3">
        <f t="shared" si="9"/>
        <v>0.009780664276</v>
      </c>
      <c r="N381" s="3">
        <f t="shared" si="10"/>
        <v>-0.09889724099</v>
      </c>
    </row>
    <row r="382" ht="14.25" customHeight="1">
      <c r="A382" s="3">
        <v>37.9</v>
      </c>
      <c r="B382" s="3">
        <v>328.09</v>
      </c>
      <c r="C382" s="3">
        <v>7.8</v>
      </c>
      <c r="E382" s="3">
        <f t="shared" si="1"/>
        <v>1436.41</v>
      </c>
      <c r="F382" s="3">
        <f t="shared" si="2"/>
        <v>12434.611</v>
      </c>
      <c r="G382" s="3">
        <f t="shared" si="3"/>
        <v>329.5605838</v>
      </c>
      <c r="H382" s="3">
        <f t="shared" si="4"/>
        <v>0.6229454306</v>
      </c>
      <c r="I382" s="3">
        <f t="shared" si="5"/>
        <v>5.392669297</v>
      </c>
      <c r="J382" s="3">
        <f t="shared" si="6"/>
        <v>23.60963182</v>
      </c>
      <c r="K382" s="3">
        <f t="shared" si="7"/>
        <v>204.3821663</v>
      </c>
      <c r="L382" s="3">
        <f t="shared" si="8"/>
        <v>0.0164365549</v>
      </c>
      <c r="M382" s="3">
        <f t="shared" si="9"/>
        <v>0.03554596726</v>
      </c>
      <c r="N382" s="3">
        <f t="shared" si="10"/>
        <v>-0.1885363818</v>
      </c>
    </row>
    <row r="383" ht="14.25" customHeight="1">
      <c r="A383" s="3">
        <v>38.0</v>
      </c>
      <c r="B383" s="3">
        <v>335.34</v>
      </c>
      <c r="C383" s="3">
        <v>8.23</v>
      </c>
      <c r="E383" s="3">
        <f t="shared" si="1"/>
        <v>1444</v>
      </c>
      <c r="F383" s="3">
        <f t="shared" si="2"/>
        <v>12742.92</v>
      </c>
      <c r="G383" s="3">
        <f t="shared" si="3"/>
        <v>330.4216403</v>
      </c>
      <c r="H383" s="3">
        <f t="shared" si="4"/>
        <v>0.5610272113</v>
      </c>
      <c r="I383" s="3">
        <f t="shared" si="5"/>
        <v>4.950917501</v>
      </c>
      <c r="J383" s="3">
        <f t="shared" si="6"/>
        <v>21.31903403</v>
      </c>
      <c r="K383" s="3">
        <f t="shared" si="7"/>
        <v>188.134865</v>
      </c>
      <c r="L383" s="3">
        <f t="shared" si="8"/>
        <v>0.01476387398</v>
      </c>
      <c r="M383" s="3">
        <f t="shared" si="9"/>
        <v>0.3571419882</v>
      </c>
      <c r="N383" s="3">
        <f t="shared" si="10"/>
        <v>0.5976135777</v>
      </c>
    </row>
    <row r="384" ht="14.25" customHeight="1">
      <c r="A384" s="3">
        <v>38.1</v>
      </c>
      <c r="B384" s="3">
        <v>330.28</v>
      </c>
      <c r="C384" s="3">
        <v>7.2</v>
      </c>
      <c r="E384" s="3">
        <f t="shared" si="1"/>
        <v>1451.61</v>
      </c>
      <c r="F384" s="3">
        <f t="shared" si="2"/>
        <v>12583.668</v>
      </c>
      <c r="G384" s="3">
        <f t="shared" si="3"/>
        <v>331.2826967</v>
      </c>
      <c r="H384" s="3">
        <f t="shared" si="4"/>
        <v>0.7349537037</v>
      </c>
      <c r="I384" s="3">
        <f t="shared" si="5"/>
        <v>6.371141975</v>
      </c>
      <c r="J384" s="3">
        <f t="shared" si="6"/>
        <v>28.00173611</v>
      </c>
      <c r="K384" s="3">
        <f t="shared" si="7"/>
        <v>242.7405093</v>
      </c>
      <c r="L384" s="3">
        <f t="shared" si="8"/>
        <v>0.01929012346</v>
      </c>
      <c r="M384" s="3">
        <f t="shared" si="9"/>
        <v>0.01939430439</v>
      </c>
      <c r="N384" s="3">
        <f t="shared" si="10"/>
        <v>-0.1392634352</v>
      </c>
    </row>
    <row r="385" ht="14.25" customHeight="1">
      <c r="A385" s="3">
        <v>38.2</v>
      </c>
      <c r="B385" s="3">
        <v>330.44</v>
      </c>
      <c r="C385" s="3">
        <v>5.03</v>
      </c>
      <c r="E385" s="3">
        <f t="shared" si="1"/>
        <v>1459.24</v>
      </c>
      <c r="F385" s="3">
        <f t="shared" si="2"/>
        <v>12622.808</v>
      </c>
      <c r="G385" s="3">
        <f t="shared" si="3"/>
        <v>332.1437532</v>
      </c>
      <c r="H385" s="3">
        <f t="shared" si="4"/>
        <v>1.509827714</v>
      </c>
      <c r="I385" s="3">
        <f t="shared" si="5"/>
        <v>13.06040497</v>
      </c>
      <c r="J385" s="3">
        <f t="shared" si="6"/>
        <v>57.67541866</v>
      </c>
      <c r="K385" s="3">
        <f t="shared" si="7"/>
        <v>498.9074697</v>
      </c>
      <c r="L385" s="3">
        <f t="shared" si="8"/>
        <v>0.0395242857</v>
      </c>
      <c r="M385" s="3">
        <f t="shared" si="9"/>
        <v>0.1147301087</v>
      </c>
      <c r="N385" s="3">
        <f t="shared" si="10"/>
        <v>-0.3387183323</v>
      </c>
    </row>
    <row r="386" ht="14.25" customHeight="1">
      <c r="A386" s="3">
        <v>38.3</v>
      </c>
      <c r="B386" s="3">
        <v>343.54</v>
      </c>
      <c r="C386" s="3">
        <v>7.14</v>
      </c>
      <c r="E386" s="3">
        <f t="shared" si="1"/>
        <v>1466.89</v>
      </c>
      <c r="F386" s="3">
        <f t="shared" si="2"/>
        <v>13157.582</v>
      </c>
      <c r="G386" s="3">
        <f t="shared" si="3"/>
        <v>333.0048097</v>
      </c>
      <c r="H386" s="3">
        <f t="shared" si="4"/>
        <v>0.7512809045</v>
      </c>
      <c r="I386" s="3">
        <f t="shared" si="5"/>
        <v>6.738773941</v>
      </c>
      <c r="J386" s="3">
        <f t="shared" si="6"/>
        <v>28.77405864</v>
      </c>
      <c r="K386" s="3">
        <f t="shared" si="7"/>
        <v>258.0950419</v>
      </c>
      <c r="L386" s="3">
        <f t="shared" si="8"/>
        <v>0.01961568941</v>
      </c>
      <c r="M386" s="3">
        <f t="shared" si="9"/>
        <v>2.177149975</v>
      </c>
      <c r="N386" s="3">
        <f t="shared" si="10"/>
        <v>1.47551685</v>
      </c>
    </row>
    <row r="387" ht="14.25" customHeight="1">
      <c r="A387" s="3">
        <v>38.4</v>
      </c>
      <c r="B387" s="3">
        <v>330.16</v>
      </c>
      <c r="C387" s="3">
        <v>5.89</v>
      </c>
      <c r="E387" s="3">
        <f t="shared" si="1"/>
        <v>1474.56</v>
      </c>
      <c r="F387" s="3">
        <f t="shared" si="2"/>
        <v>12678.144</v>
      </c>
      <c r="G387" s="3">
        <f t="shared" si="3"/>
        <v>333.8658662</v>
      </c>
      <c r="H387" s="3">
        <f t="shared" si="4"/>
        <v>1.106880241</v>
      </c>
      <c r="I387" s="3">
        <f t="shared" si="5"/>
        <v>9.51686407</v>
      </c>
      <c r="J387" s="3">
        <f t="shared" si="6"/>
        <v>42.50420124</v>
      </c>
      <c r="K387" s="3">
        <f t="shared" si="7"/>
        <v>365.4475803</v>
      </c>
      <c r="L387" s="3">
        <f t="shared" si="8"/>
        <v>0.02882500627</v>
      </c>
      <c r="M387" s="3">
        <f t="shared" si="9"/>
        <v>0.3958666108</v>
      </c>
      <c r="N387" s="3">
        <f t="shared" si="10"/>
        <v>-0.6291793153</v>
      </c>
    </row>
    <row r="388" ht="14.25" customHeight="1">
      <c r="A388" s="3">
        <v>38.5</v>
      </c>
      <c r="B388" s="3">
        <v>335.92</v>
      </c>
      <c r="C388" s="3">
        <v>6.63</v>
      </c>
      <c r="E388" s="3">
        <f t="shared" si="1"/>
        <v>1482.25</v>
      </c>
      <c r="F388" s="3">
        <f t="shared" si="2"/>
        <v>12932.92</v>
      </c>
      <c r="G388" s="3">
        <f t="shared" si="3"/>
        <v>334.7269226</v>
      </c>
      <c r="H388" s="3">
        <f t="shared" si="4"/>
        <v>0.8758579427</v>
      </c>
      <c r="I388" s="3">
        <f t="shared" si="5"/>
        <v>7.642031171</v>
      </c>
      <c r="J388" s="3">
        <f t="shared" si="6"/>
        <v>33.72053079</v>
      </c>
      <c r="K388" s="3">
        <f t="shared" si="7"/>
        <v>294.2182001</v>
      </c>
      <c r="L388" s="3">
        <f t="shared" si="8"/>
        <v>0.02274955695</v>
      </c>
      <c r="M388" s="3">
        <f t="shared" si="9"/>
        <v>0.03238248317</v>
      </c>
      <c r="N388" s="3">
        <f t="shared" si="10"/>
        <v>0.1799513356</v>
      </c>
    </row>
    <row r="389" ht="14.25" customHeight="1">
      <c r="A389" s="3">
        <v>38.6</v>
      </c>
      <c r="B389" s="3">
        <v>340.14</v>
      </c>
      <c r="C389" s="3">
        <v>4.57</v>
      </c>
      <c r="E389" s="3">
        <f t="shared" si="1"/>
        <v>1489.96</v>
      </c>
      <c r="F389" s="3">
        <f t="shared" si="2"/>
        <v>13129.404</v>
      </c>
      <c r="G389" s="3">
        <f t="shared" si="3"/>
        <v>335.5879791</v>
      </c>
      <c r="H389" s="3">
        <f t="shared" si="4"/>
        <v>1.848225273</v>
      </c>
      <c r="I389" s="3">
        <f t="shared" si="5"/>
        <v>16.28640788</v>
      </c>
      <c r="J389" s="3">
        <f t="shared" si="6"/>
        <v>71.34149553</v>
      </c>
      <c r="K389" s="3">
        <f t="shared" si="7"/>
        <v>628.6553443</v>
      </c>
      <c r="L389" s="3">
        <f t="shared" si="8"/>
        <v>0.04788148375</v>
      </c>
      <c r="M389" s="3">
        <f t="shared" si="9"/>
        <v>0.9921471525</v>
      </c>
      <c r="N389" s="3">
        <f t="shared" si="10"/>
        <v>0.9960658374</v>
      </c>
    </row>
    <row r="390" ht="14.25" customHeight="1">
      <c r="A390" s="3">
        <v>38.7</v>
      </c>
      <c r="B390" s="3">
        <v>337.08</v>
      </c>
      <c r="C390" s="3">
        <v>3.96</v>
      </c>
      <c r="E390" s="3">
        <f t="shared" si="1"/>
        <v>1497.69</v>
      </c>
      <c r="F390" s="3">
        <f t="shared" si="2"/>
        <v>13044.996</v>
      </c>
      <c r="G390" s="3">
        <f t="shared" si="3"/>
        <v>336.4490356</v>
      </c>
      <c r="H390" s="3">
        <f t="shared" si="4"/>
        <v>2.467860422</v>
      </c>
      <c r="I390" s="3">
        <f t="shared" si="5"/>
        <v>21.49525559</v>
      </c>
      <c r="J390" s="3">
        <f t="shared" si="6"/>
        <v>95.50619835</v>
      </c>
      <c r="K390" s="3">
        <f t="shared" si="7"/>
        <v>831.8663912</v>
      </c>
      <c r="L390" s="3">
        <f t="shared" si="8"/>
        <v>0.06376900316</v>
      </c>
      <c r="M390" s="3">
        <f t="shared" si="9"/>
        <v>0.02538746511</v>
      </c>
      <c r="N390" s="3">
        <f t="shared" si="10"/>
        <v>0.1593344442</v>
      </c>
    </row>
    <row r="391" ht="14.25" customHeight="1">
      <c r="A391" s="3">
        <v>38.8</v>
      </c>
      <c r="B391" s="3">
        <v>330.36</v>
      </c>
      <c r="C391" s="3">
        <v>4.19</v>
      </c>
      <c r="E391" s="3">
        <f t="shared" si="1"/>
        <v>1505.44</v>
      </c>
      <c r="F391" s="3">
        <f t="shared" si="2"/>
        <v>12817.968</v>
      </c>
      <c r="G391" s="3">
        <f t="shared" si="3"/>
        <v>337.3100921</v>
      </c>
      <c r="H391" s="3">
        <f t="shared" si="4"/>
        <v>2.210058043</v>
      </c>
      <c r="I391" s="3">
        <f t="shared" si="5"/>
        <v>18.81739111</v>
      </c>
      <c r="J391" s="3">
        <f t="shared" si="6"/>
        <v>85.75025205</v>
      </c>
      <c r="K391" s="3">
        <f t="shared" si="7"/>
        <v>730.1147749</v>
      </c>
      <c r="L391" s="3">
        <f t="shared" si="8"/>
        <v>0.05696025883</v>
      </c>
      <c r="M391" s="3">
        <f t="shared" si="9"/>
        <v>2.751395806</v>
      </c>
      <c r="N391" s="3">
        <f t="shared" si="10"/>
        <v>-1.658733193</v>
      </c>
    </row>
    <row r="392" ht="14.25" customHeight="1">
      <c r="A392" s="3">
        <v>38.9</v>
      </c>
      <c r="B392" s="3">
        <v>335.94</v>
      </c>
      <c r="C392" s="3">
        <v>5.82</v>
      </c>
      <c r="E392" s="3">
        <f t="shared" si="1"/>
        <v>1513.21</v>
      </c>
      <c r="F392" s="3">
        <f t="shared" si="2"/>
        <v>13068.066</v>
      </c>
      <c r="G392" s="3">
        <f t="shared" si="3"/>
        <v>338.1711486</v>
      </c>
      <c r="H392" s="3">
        <f t="shared" si="4"/>
        <v>1.148427628</v>
      </c>
      <c r="I392" s="3">
        <f t="shared" si="5"/>
        <v>9.91780919</v>
      </c>
      <c r="J392" s="3">
        <f t="shared" si="6"/>
        <v>44.67383474</v>
      </c>
      <c r="K392" s="3">
        <f t="shared" si="7"/>
        <v>385.8027775</v>
      </c>
      <c r="L392" s="3">
        <f t="shared" si="8"/>
        <v>0.02952256114</v>
      </c>
      <c r="M392" s="3">
        <f t="shared" si="9"/>
        <v>0.1469640144</v>
      </c>
      <c r="N392" s="3">
        <f t="shared" si="10"/>
        <v>-0.3833588585</v>
      </c>
    </row>
    <row r="393" ht="14.25" customHeight="1">
      <c r="A393" s="3">
        <v>39.0</v>
      </c>
      <c r="B393" s="3">
        <v>358.72</v>
      </c>
      <c r="C393" s="3">
        <v>7.9</v>
      </c>
      <c r="E393" s="3">
        <f t="shared" si="1"/>
        <v>1521</v>
      </c>
      <c r="F393" s="3">
        <f t="shared" si="2"/>
        <v>13990.08</v>
      </c>
      <c r="G393" s="3">
        <f t="shared" si="3"/>
        <v>339.032205</v>
      </c>
      <c r="H393" s="3">
        <f t="shared" si="4"/>
        <v>0.6248998558</v>
      </c>
      <c r="I393" s="3">
        <f t="shared" si="5"/>
        <v>5.747796827</v>
      </c>
      <c r="J393" s="3">
        <f t="shared" si="6"/>
        <v>24.37109438</v>
      </c>
      <c r="K393" s="3">
        <f t="shared" si="7"/>
        <v>224.1640763</v>
      </c>
      <c r="L393" s="3">
        <f t="shared" si="8"/>
        <v>0.01602307323</v>
      </c>
      <c r="M393" s="3">
        <f t="shared" si="9"/>
        <v>6.210691726</v>
      </c>
      <c r="N393" s="3">
        <f t="shared" si="10"/>
        <v>2.492125945</v>
      </c>
    </row>
    <row r="394" ht="14.25" customHeight="1">
      <c r="A394" s="3">
        <v>39.1</v>
      </c>
      <c r="B394" s="3">
        <v>346.79</v>
      </c>
      <c r="C394" s="3">
        <v>8.22</v>
      </c>
      <c r="E394" s="3">
        <f t="shared" si="1"/>
        <v>1528.81</v>
      </c>
      <c r="F394" s="3">
        <f t="shared" si="2"/>
        <v>13559.489</v>
      </c>
      <c r="G394" s="3">
        <f t="shared" si="3"/>
        <v>339.8932615</v>
      </c>
      <c r="H394" s="3">
        <f t="shared" si="4"/>
        <v>0.5786728708</v>
      </c>
      <c r="I394" s="3">
        <f t="shared" si="5"/>
        <v>5.132428768</v>
      </c>
      <c r="J394" s="3">
        <f t="shared" si="6"/>
        <v>22.62610925</v>
      </c>
      <c r="K394" s="3">
        <f t="shared" si="7"/>
        <v>200.6779648</v>
      </c>
      <c r="L394" s="3">
        <f t="shared" si="8"/>
        <v>0.01479981767</v>
      </c>
      <c r="M394" s="3">
        <f t="shared" si="9"/>
        <v>0.7039533534</v>
      </c>
      <c r="N394" s="3">
        <f t="shared" si="10"/>
        <v>0.8390192807</v>
      </c>
    </row>
    <row r="395" ht="14.25" customHeight="1">
      <c r="A395" s="3">
        <v>39.2</v>
      </c>
      <c r="B395" s="3">
        <v>335.27</v>
      </c>
      <c r="C395" s="3">
        <v>6.91</v>
      </c>
      <c r="E395" s="3">
        <f t="shared" si="1"/>
        <v>1536.64</v>
      </c>
      <c r="F395" s="3">
        <f t="shared" si="2"/>
        <v>13142.584</v>
      </c>
      <c r="G395" s="3">
        <f t="shared" si="3"/>
        <v>340.754318</v>
      </c>
      <c r="H395" s="3">
        <f t="shared" si="4"/>
        <v>0.8209750754</v>
      </c>
      <c r="I395" s="3">
        <f t="shared" si="5"/>
        <v>7.021640652</v>
      </c>
      <c r="J395" s="3">
        <f t="shared" si="6"/>
        <v>32.18222296</v>
      </c>
      <c r="K395" s="3">
        <f t="shared" si="7"/>
        <v>275.2483135</v>
      </c>
      <c r="L395" s="3">
        <f t="shared" si="8"/>
        <v>0.02094324172</v>
      </c>
      <c r="M395" s="3">
        <f t="shared" si="9"/>
        <v>0.6299254592</v>
      </c>
      <c r="N395" s="3">
        <f t="shared" si="10"/>
        <v>-0.7936784356</v>
      </c>
    </row>
    <row r="396" ht="14.25" customHeight="1">
      <c r="A396" s="3">
        <v>39.3</v>
      </c>
      <c r="B396" s="3">
        <v>351.19</v>
      </c>
      <c r="C396" s="3">
        <v>3.87</v>
      </c>
      <c r="E396" s="3">
        <f t="shared" si="1"/>
        <v>1544.49</v>
      </c>
      <c r="F396" s="3">
        <f t="shared" si="2"/>
        <v>13801.767</v>
      </c>
      <c r="G396" s="3">
        <f t="shared" si="3"/>
        <v>341.6153745</v>
      </c>
      <c r="H396" s="3">
        <f t="shared" si="4"/>
        <v>2.624041023</v>
      </c>
      <c r="I396" s="3">
        <f t="shared" si="5"/>
        <v>23.44877778</v>
      </c>
      <c r="J396" s="3">
        <f t="shared" si="6"/>
        <v>103.1248122</v>
      </c>
      <c r="K396" s="3">
        <f t="shared" si="7"/>
        <v>921.5369669</v>
      </c>
      <c r="L396" s="3">
        <f t="shared" si="8"/>
        <v>0.06676949168</v>
      </c>
      <c r="M396" s="3">
        <f t="shared" si="9"/>
        <v>6.12098993</v>
      </c>
      <c r="N396" s="3">
        <f t="shared" si="10"/>
        <v>2.474063445</v>
      </c>
    </row>
    <row r="397" ht="14.25" customHeight="1">
      <c r="A397" s="3">
        <v>39.4</v>
      </c>
      <c r="B397" s="3">
        <v>336.69</v>
      </c>
      <c r="C397" s="3">
        <v>7.65</v>
      </c>
      <c r="E397" s="3">
        <f t="shared" si="1"/>
        <v>1552.36</v>
      </c>
      <c r="F397" s="3">
        <f t="shared" si="2"/>
        <v>13265.586</v>
      </c>
      <c r="G397" s="3">
        <f t="shared" si="3"/>
        <v>342.4764309</v>
      </c>
      <c r="H397" s="3">
        <f t="shared" si="4"/>
        <v>0.673245333</v>
      </c>
      <c r="I397" s="3">
        <f t="shared" si="5"/>
        <v>5.753171857</v>
      </c>
      <c r="J397" s="3">
        <f t="shared" si="6"/>
        <v>26.52586612</v>
      </c>
      <c r="K397" s="3">
        <f t="shared" si="7"/>
        <v>226.6749712</v>
      </c>
      <c r="L397" s="3">
        <f t="shared" si="8"/>
        <v>0.017087445</v>
      </c>
      <c r="M397" s="3">
        <f t="shared" si="9"/>
        <v>0.5721352145</v>
      </c>
      <c r="N397" s="3">
        <f t="shared" si="10"/>
        <v>-0.7563962021</v>
      </c>
    </row>
    <row r="398" ht="14.25" customHeight="1">
      <c r="A398" s="3">
        <v>39.5</v>
      </c>
      <c r="B398" s="3">
        <v>346.76</v>
      </c>
      <c r="C398" s="3">
        <v>7.62</v>
      </c>
      <c r="E398" s="3">
        <f t="shared" si="1"/>
        <v>1560.25</v>
      </c>
      <c r="F398" s="3">
        <f t="shared" si="2"/>
        <v>13697.02</v>
      </c>
      <c r="G398" s="3">
        <f t="shared" si="3"/>
        <v>343.3374874</v>
      </c>
      <c r="H398" s="3">
        <f t="shared" si="4"/>
        <v>0.6802791383</v>
      </c>
      <c r="I398" s="3">
        <f t="shared" si="5"/>
        <v>5.971989722</v>
      </c>
      <c r="J398" s="3">
        <f t="shared" si="6"/>
        <v>26.87102596</v>
      </c>
      <c r="K398" s="3">
        <f t="shared" si="7"/>
        <v>235.893594</v>
      </c>
      <c r="L398" s="3">
        <f t="shared" si="8"/>
        <v>0.01722225667</v>
      </c>
      <c r="M398" s="3">
        <f t="shared" si="9"/>
        <v>0.2017344937</v>
      </c>
      <c r="N398" s="3">
        <f t="shared" si="10"/>
        <v>0.449148632</v>
      </c>
    </row>
    <row r="399" ht="14.25" customHeight="1">
      <c r="A399" s="3">
        <v>39.6</v>
      </c>
      <c r="B399" s="3">
        <v>339.98</v>
      </c>
      <c r="C399" s="3">
        <v>6.27</v>
      </c>
      <c r="E399" s="3">
        <f t="shared" si="1"/>
        <v>1568.16</v>
      </c>
      <c r="F399" s="3">
        <f t="shared" si="2"/>
        <v>13463.208</v>
      </c>
      <c r="G399" s="3">
        <f t="shared" si="3"/>
        <v>344.1985439</v>
      </c>
      <c r="H399" s="3">
        <f t="shared" si="4"/>
        <v>1.007302946</v>
      </c>
      <c r="I399" s="3">
        <f t="shared" si="5"/>
        <v>8.648051912</v>
      </c>
      <c r="J399" s="3">
        <f t="shared" si="6"/>
        <v>39.88919668</v>
      </c>
      <c r="K399" s="3">
        <f t="shared" si="7"/>
        <v>342.4628557</v>
      </c>
      <c r="L399" s="3">
        <f t="shared" si="8"/>
        <v>0.02543694309</v>
      </c>
      <c r="M399" s="3">
        <f t="shared" si="9"/>
        <v>0.4526787047</v>
      </c>
      <c r="N399" s="3">
        <f t="shared" si="10"/>
        <v>-0.6728140194</v>
      </c>
    </row>
    <row r="400" ht="14.25" customHeight="1">
      <c r="A400" s="3">
        <v>39.7</v>
      </c>
      <c r="B400" s="3">
        <v>352.91</v>
      </c>
      <c r="C400" s="3">
        <v>5.82</v>
      </c>
      <c r="E400" s="3">
        <f t="shared" si="1"/>
        <v>1576.09</v>
      </c>
      <c r="F400" s="3">
        <f t="shared" si="2"/>
        <v>14010.527</v>
      </c>
      <c r="G400" s="3">
        <f t="shared" si="3"/>
        <v>345.0596004</v>
      </c>
      <c r="H400" s="3">
        <f t="shared" si="4"/>
        <v>1.172045677</v>
      </c>
      <c r="I400" s="3">
        <f t="shared" si="5"/>
        <v>10.41880705</v>
      </c>
      <c r="J400" s="3">
        <f t="shared" si="6"/>
        <v>46.53021339</v>
      </c>
      <c r="K400" s="3">
        <f t="shared" si="7"/>
        <v>413.62664</v>
      </c>
      <c r="L400" s="3">
        <f t="shared" si="8"/>
        <v>0.02952256114</v>
      </c>
      <c r="M400" s="3">
        <f t="shared" si="9"/>
        <v>1.819439254</v>
      </c>
      <c r="N400" s="3">
        <f t="shared" si="10"/>
        <v>1.348865914</v>
      </c>
    </row>
    <row r="401" ht="14.25" customHeight="1">
      <c r="A401" s="3">
        <v>39.8</v>
      </c>
      <c r="B401" s="3">
        <v>360.65</v>
      </c>
      <c r="C401" s="3">
        <v>7.51</v>
      </c>
      <c r="E401" s="3">
        <f t="shared" si="1"/>
        <v>1584.04</v>
      </c>
      <c r="F401" s="3">
        <f t="shared" si="2"/>
        <v>14353.87</v>
      </c>
      <c r="G401" s="3">
        <f t="shared" si="3"/>
        <v>345.9206569</v>
      </c>
      <c r="H401" s="3">
        <f t="shared" si="4"/>
        <v>0.7056725077</v>
      </c>
      <c r="I401" s="3">
        <f t="shared" si="5"/>
        <v>6.394492208</v>
      </c>
      <c r="J401" s="3">
        <f t="shared" si="6"/>
        <v>28.08576581</v>
      </c>
      <c r="K401" s="3">
        <f t="shared" si="7"/>
        <v>254.5007899</v>
      </c>
      <c r="L401" s="3">
        <f t="shared" si="8"/>
        <v>0.01773046502</v>
      </c>
      <c r="M401" s="3">
        <f t="shared" si="9"/>
        <v>3.846687318</v>
      </c>
      <c r="N401" s="3">
        <f t="shared" si="10"/>
        <v>1.961297356</v>
      </c>
    </row>
    <row r="402" ht="14.25" customHeight="1">
      <c r="A402" s="3">
        <v>39.9</v>
      </c>
      <c r="B402" s="3">
        <v>349.84</v>
      </c>
      <c r="C402" s="3">
        <v>4.77</v>
      </c>
      <c r="E402" s="3">
        <f t="shared" si="1"/>
        <v>1592.01</v>
      </c>
      <c r="F402" s="3">
        <f t="shared" si="2"/>
        <v>13958.616</v>
      </c>
      <c r="G402" s="3">
        <f t="shared" si="3"/>
        <v>346.7817133</v>
      </c>
      <c r="H402" s="3">
        <f t="shared" si="4"/>
        <v>1.753622615</v>
      </c>
      <c r="I402" s="3">
        <f t="shared" si="5"/>
        <v>15.37562245</v>
      </c>
      <c r="J402" s="3">
        <f t="shared" si="6"/>
        <v>69.96954234</v>
      </c>
      <c r="K402" s="3">
        <f t="shared" si="7"/>
        <v>613.4873357</v>
      </c>
      <c r="L402" s="3">
        <f t="shared" si="8"/>
        <v>0.04395044148</v>
      </c>
      <c r="M402" s="3">
        <f t="shared" si="9"/>
        <v>0.4110736356</v>
      </c>
      <c r="N402" s="3">
        <f t="shared" si="10"/>
        <v>0.6411502442</v>
      </c>
    </row>
    <row r="403" ht="14.25" customHeight="1">
      <c r="A403" s="3">
        <v>40.0</v>
      </c>
      <c r="B403" s="3">
        <v>346.05</v>
      </c>
      <c r="C403" s="3">
        <v>5.03</v>
      </c>
      <c r="E403" s="3">
        <f t="shared" si="1"/>
        <v>1600</v>
      </c>
      <c r="F403" s="3">
        <f t="shared" si="2"/>
        <v>13842</v>
      </c>
      <c r="G403" s="3">
        <f t="shared" si="3"/>
        <v>347.6427698</v>
      </c>
      <c r="H403" s="3">
        <f t="shared" si="4"/>
        <v>1.580971428</v>
      </c>
      <c r="I403" s="3">
        <f t="shared" si="5"/>
        <v>13.67737907</v>
      </c>
      <c r="J403" s="3">
        <f t="shared" si="6"/>
        <v>63.23885712</v>
      </c>
      <c r="K403" s="3">
        <f t="shared" si="7"/>
        <v>547.0951626</v>
      </c>
      <c r="L403" s="3">
        <f t="shared" si="8"/>
        <v>0.0395242857</v>
      </c>
      <c r="M403" s="3">
        <f t="shared" si="9"/>
        <v>0.10026978</v>
      </c>
      <c r="N403" s="3">
        <f t="shared" si="10"/>
        <v>-0.3166540384</v>
      </c>
    </row>
    <row r="404" ht="14.25" customHeight="1">
      <c r="A404" s="3">
        <v>40.1</v>
      </c>
      <c r="B404" s="3">
        <v>350.09</v>
      </c>
      <c r="C404" s="3">
        <v>3.69</v>
      </c>
      <c r="E404" s="3">
        <f t="shared" si="1"/>
        <v>1608.01</v>
      </c>
      <c r="F404" s="3">
        <f t="shared" si="2"/>
        <v>14038.609</v>
      </c>
      <c r="G404" s="3">
        <f t="shared" si="3"/>
        <v>348.5038263</v>
      </c>
      <c r="H404" s="3">
        <f t="shared" si="4"/>
        <v>2.945043001</v>
      </c>
      <c r="I404" s="3">
        <f t="shared" si="5"/>
        <v>25.71147392</v>
      </c>
      <c r="J404" s="3">
        <f t="shared" si="6"/>
        <v>118.0962243</v>
      </c>
      <c r="K404" s="3">
        <f t="shared" si="7"/>
        <v>1031.030104</v>
      </c>
      <c r="L404" s="3">
        <f t="shared" si="8"/>
        <v>0.07344246884</v>
      </c>
      <c r="M404" s="3">
        <f t="shared" si="9"/>
        <v>0.1847773617</v>
      </c>
      <c r="N404" s="3">
        <f t="shared" si="10"/>
        <v>0.4298573737</v>
      </c>
    </row>
    <row r="405" ht="14.25" customHeight="1">
      <c r="A405" s="3">
        <v>40.2</v>
      </c>
      <c r="B405" s="3">
        <v>356.22</v>
      </c>
      <c r="C405" s="3">
        <v>6.18</v>
      </c>
      <c r="E405" s="3">
        <f t="shared" si="1"/>
        <v>1616.04</v>
      </c>
      <c r="F405" s="3">
        <f t="shared" si="2"/>
        <v>14320.044</v>
      </c>
      <c r="G405" s="3">
        <f t="shared" si="3"/>
        <v>349.3648828</v>
      </c>
      <c r="H405" s="3">
        <f t="shared" si="4"/>
        <v>1.052565432</v>
      </c>
      <c r="I405" s="3">
        <f t="shared" si="5"/>
        <v>9.326986521</v>
      </c>
      <c r="J405" s="3">
        <f t="shared" si="6"/>
        <v>42.31313036</v>
      </c>
      <c r="K405" s="3">
        <f t="shared" si="7"/>
        <v>374.9448581</v>
      </c>
      <c r="L405" s="3">
        <f t="shared" si="8"/>
        <v>0.0261832197</v>
      </c>
      <c r="M405" s="3">
        <f t="shared" si="9"/>
        <v>1.230418414</v>
      </c>
      <c r="N405" s="3">
        <f t="shared" si="10"/>
        <v>1.10924227</v>
      </c>
    </row>
    <row r="406" ht="14.25" customHeight="1">
      <c r="A406" s="3">
        <v>40.3</v>
      </c>
      <c r="B406" s="3">
        <v>335.59</v>
      </c>
      <c r="C406" s="3">
        <v>9.96</v>
      </c>
      <c r="E406" s="3">
        <f t="shared" si="1"/>
        <v>1624.09</v>
      </c>
      <c r="F406" s="3">
        <f t="shared" si="2"/>
        <v>13524.277</v>
      </c>
      <c r="G406" s="3">
        <f t="shared" si="3"/>
        <v>350.2259392</v>
      </c>
      <c r="H406" s="3">
        <f t="shared" si="4"/>
        <v>0.4062434477</v>
      </c>
      <c r="I406" s="3">
        <f t="shared" si="5"/>
        <v>3.382909147</v>
      </c>
      <c r="J406" s="3">
        <f t="shared" si="6"/>
        <v>16.37161094</v>
      </c>
      <c r="K406" s="3">
        <f t="shared" si="7"/>
        <v>136.3312386</v>
      </c>
      <c r="L406" s="3">
        <f t="shared" si="8"/>
        <v>0.01008048257</v>
      </c>
      <c r="M406" s="3">
        <f t="shared" si="9"/>
        <v>2.159347406</v>
      </c>
      <c r="N406" s="3">
        <f t="shared" si="10"/>
        <v>-1.469471812</v>
      </c>
    </row>
    <row r="407" ht="14.25" customHeight="1">
      <c r="A407" s="3">
        <v>40.4</v>
      </c>
      <c r="B407" s="3">
        <v>341.59</v>
      </c>
      <c r="C407" s="3">
        <v>6.1</v>
      </c>
      <c r="E407" s="3">
        <f t="shared" si="1"/>
        <v>1632.16</v>
      </c>
      <c r="F407" s="3">
        <f t="shared" si="2"/>
        <v>13800.236</v>
      </c>
      <c r="G407" s="3">
        <f t="shared" si="3"/>
        <v>351.0869957</v>
      </c>
      <c r="H407" s="3">
        <f t="shared" si="4"/>
        <v>1.085729643</v>
      </c>
      <c r="I407" s="3">
        <f t="shared" si="5"/>
        <v>9.180059124</v>
      </c>
      <c r="J407" s="3">
        <f t="shared" si="6"/>
        <v>43.86347756</v>
      </c>
      <c r="K407" s="3">
        <f t="shared" si="7"/>
        <v>370.8743886</v>
      </c>
      <c r="L407" s="3">
        <f t="shared" si="8"/>
        <v>0.0268744961</v>
      </c>
      <c r="M407" s="3">
        <f t="shared" si="9"/>
        <v>2.423889486</v>
      </c>
      <c r="N407" s="3">
        <f t="shared" si="10"/>
        <v>-1.556884545</v>
      </c>
    </row>
    <row r="408" ht="14.25" customHeight="1">
      <c r="A408" s="3">
        <v>40.5</v>
      </c>
      <c r="B408" s="3">
        <v>357.07</v>
      </c>
      <c r="C408" s="3">
        <v>6.98</v>
      </c>
      <c r="E408" s="3">
        <f t="shared" si="1"/>
        <v>1640.25</v>
      </c>
      <c r="F408" s="3">
        <f t="shared" si="2"/>
        <v>14461.335</v>
      </c>
      <c r="G408" s="3">
        <f t="shared" si="3"/>
        <v>351.9480522</v>
      </c>
      <c r="H408" s="3">
        <f t="shared" si="4"/>
        <v>0.8312739633</v>
      </c>
      <c r="I408" s="3">
        <f t="shared" si="5"/>
        <v>7.328962816</v>
      </c>
      <c r="J408" s="3">
        <f t="shared" si="6"/>
        <v>33.66659551</v>
      </c>
      <c r="K408" s="3">
        <f t="shared" si="7"/>
        <v>296.8229941</v>
      </c>
      <c r="L408" s="3">
        <f t="shared" si="8"/>
        <v>0.02052528304</v>
      </c>
      <c r="M408" s="3">
        <f t="shared" si="9"/>
        <v>0.5384674436</v>
      </c>
      <c r="N408" s="3">
        <f t="shared" si="10"/>
        <v>0.7338034094</v>
      </c>
    </row>
    <row r="409" ht="14.25" customHeight="1">
      <c r="A409" s="3">
        <v>40.6</v>
      </c>
      <c r="B409" s="3">
        <v>353.52</v>
      </c>
      <c r="C409" s="3">
        <v>4.49</v>
      </c>
      <c r="E409" s="3">
        <f t="shared" si="1"/>
        <v>1648.36</v>
      </c>
      <c r="F409" s="3">
        <f t="shared" si="2"/>
        <v>14352.912</v>
      </c>
      <c r="G409" s="3">
        <f t="shared" si="3"/>
        <v>352.8091087</v>
      </c>
      <c r="H409" s="3">
        <f t="shared" si="4"/>
        <v>2.013878899</v>
      </c>
      <c r="I409" s="3">
        <f t="shared" si="5"/>
        <v>17.5356273</v>
      </c>
      <c r="J409" s="3">
        <f t="shared" si="6"/>
        <v>81.76348332</v>
      </c>
      <c r="K409" s="3">
        <f t="shared" si="7"/>
        <v>711.9464685</v>
      </c>
      <c r="L409" s="3">
        <f t="shared" si="8"/>
        <v>0.04960292856</v>
      </c>
      <c r="M409" s="3">
        <f t="shared" si="9"/>
        <v>0.02506765683</v>
      </c>
      <c r="N409" s="3">
        <f t="shared" si="10"/>
        <v>0.1583276881</v>
      </c>
    </row>
    <row r="410" ht="14.25" customHeight="1">
      <c r="A410" s="3">
        <v>40.7</v>
      </c>
      <c r="B410" s="3">
        <v>348.59</v>
      </c>
      <c r="C410" s="3">
        <v>7.09</v>
      </c>
      <c r="E410" s="3">
        <f t="shared" si="1"/>
        <v>1656.49</v>
      </c>
      <c r="F410" s="3">
        <f t="shared" si="2"/>
        <v>14187.613</v>
      </c>
      <c r="G410" s="3">
        <f t="shared" si="3"/>
        <v>353.6701652</v>
      </c>
      <c r="H410" s="3">
        <f t="shared" si="4"/>
        <v>0.8096586105</v>
      </c>
      <c r="I410" s="3">
        <f t="shared" si="5"/>
        <v>6.934616586</v>
      </c>
      <c r="J410" s="3">
        <f t="shared" si="6"/>
        <v>32.95310545</v>
      </c>
      <c r="K410" s="3">
        <f t="shared" si="7"/>
        <v>282.238895</v>
      </c>
      <c r="L410" s="3">
        <f t="shared" si="8"/>
        <v>0.01989333195</v>
      </c>
      <c r="M410" s="3">
        <f t="shared" si="9"/>
        <v>0.5134086634</v>
      </c>
      <c r="N410" s="3">
        <f t="shared" si="10"/>
        <v>-0.7165254102</v>
      </c>
    </row>
    <row r="411" ht="14.25" customHeight="1">
      <c r="A411" s="3">
        <v>40.8</v>
      </c>
      <c r="B411" s="3">
        <v>352.0</v>
      </c>
      <c r="C411" s="3">
        <v>3.84</v>
      </c>
      <c r="E411" s="3">
        <f t="shared" si="1"/>
        <v>1664.64</v>
      </c>
      <c r="F411" s="3">
        <f t="shared" si="2"/>
        <v>14361.6</v>
      </c>
      <c r="G411" s="3">
        <f t="shared" si="3"/>
        <v>354.5312216</v>
      </c>
      <c r="H411" s="3">
        <f t="shared" si="4"/>
        <v>2.766927083</v>
      </c>
      <c r="I411" s="3">
        <f t="shared" si="5"/>
        <v>23.87152778</v>
      </c>
      <c r="J411" s="3">
        <f t="shared" si="6"/>
        <v>112.890625</v>
      </c>
      <c r="K411" s="3">
        <f t="shared" si="7"/>
        <v>973.9583333</v>
      </c>
      <c r="L411" s="3">
        <f t="shared" si="8"/>
        <v>0.06781684028</v>
      </c>
      <c r="M411" s="3">
        <f t="shared" si="9"/>
        <v>0.4345081225</v>
      </c>
      <c r="N411" s="3">
        <f t="shared" si="10"/>
        <v>-0.659172301</v>
      </c>
    </row>
    <row r="412" ht="14.25" customHeight="1">
      <c r="A412" s="3">
        <v>40.9</v>
      </c>
      <c r="B412" s="3">
        <v>363.11</v>
      </c>
      <c r="C412" s="3">
        <v>10.17</v>
      </c>
      <c r="E412" s="3">
        <f t="shared" si="1"/>
        <v>1672.81</v>
      </c>
      <c r="F412" s="3">
        <f t="shared" si="2"/>
        <v>14851.199</v>
      </c>
      <c r="G412" s="3">
        <f t="shared" si="3"/>
        <v>355.3922781</v>
      </c>
      <c r="H412" s="3">
        <f t="shared" si="4"/>
        <v>0.3954407327</v>
      </c>
      <c r="I412" s="3">
        <f t="shared" si="5"/>
        <v>3.510720891</v>
      </c>
      <c r="J412" s="3">
        <f t="shared" si="6"/>
        <v>16.17352597</v>
      </c>
      <c r="K412" s="3">
        <f t="shared" si="7"/>
        <v>143.5884845</v>
      </c>
      <c r="L412" s="3">
        <f t="shared" si="8"/>
        <v>0.009668477573</v>
      </c>
      <c r="M412" s="3">
        <f t="shared" si="9"/>
        <v>0.5758857641</v>
      </c>
      <c r="N412" s="3">
        <f t="shared" si="10"/>
        <v>0.7588713752</v>
      </c>
    </row>
    <row r="413" ht="14.25" customHeight="1">
      <c r="A413" s="3">
        <v>41.0</v>
      </c>
      <c r="B413" s="3">
        <v>373.06</v>
      </c>
      <c r="C413" s="3">
        <v>10.59</v>
      </c>
      <c r="E413" s="3">
        <f t="shared" si="1"/>
        <v>1681</v>
      </c>
      <c r="F413" s="3">
        <f t="shared" si="2"/>
        <v>15295.46</v>
      </c>
      <c r="G413" s="3">
        <f t="shared" si="3"/>
        <v>356.2533346</v>
      </c>
      <c r="H413" s="3">
        <f t="shared" si="4"/>
        <v>0.3655880037</v>
      </c>
      <c r="I413" s="3">
        <f t="shared" si="5"/>
        <v>3.326494163</v>
      </c>
      <c r="J413" s="3">
        <f t="shared" si="6"/>
        <v>14.98910815</v>
      </c>
      <c r="K413" s="3">
        <f t="shared" si="7"/>
        <v>136.3862607</v>
      </c>
      <c r="L413" s="3">
        <f t="shared" si="8"/>
        <v>0.008916780579</v>
      </c>
      <c r="M413" s="3">
        <f t="shared" si="9"/>
        <v>2.518669528</v>
      </c>
      <c r="N413" s="3">
        <f t="shared" si="10"/>
        <v>1.587031672</v>
      </c>
    </row>
    <row r="414" ht="14.25" customHeight="1">
      <c r="A414" s="3">
        <v>41.1</v>
      </c>
      <c r="B414" s="3">
        <v>360.54</v>
      </c>
      <c r="C414" s="3">
        <v>3.65</v>
      </c>
      <c r="E414" s="3">
        <f t="shared" si="1"/>
        <v>1689.21</v>
      </c>
      <c r="F414" s="3">
        <f t="shared" si="2"/>
        <v>14818.194</v>
      </c>
      <c r="G414" s="3">
        <f t="shared" si="3"/>
        <v>357.1143911</v>
      </c>
      <c r="H414" s="3">
        <f t="shared" si="4"/>
        <v>3.085006568</v>
      </c>
      <c r="I414" s="3">
        <f t="shared" si="5"/>
        <v>27.06248827</v>
      </c>
      <c r="J414" s="3">
        <f t="shared" si="6"/>
        <v>126.7937699</v>
      </c>
      <c r="K414" s="3">
        <f t="shared" si="7"/>
        <v>1112.268268</v>
      </c>
      <c r="L414" s="3">
        <f t="shared" si="8"/>
        <v>0.07506098705</v>
      </c>
      <c r="M414" s="3">
        <f t="shared" si="9"/>
        <v>0.8808254115</v>
      </c>
      <c r="N414" s="3">
        <f t="shared" si="10"/>
        <v>0.9385229946</v>
      </c>
    </row>
    <row r="415" ht="14.25" customHeight="1">
      <c r="A415" s="3">
        <v>41.2</v>
      </c>
      <c r="B415" s="3">
        <v>360.32</v>
      </c>
      <c r="C415" s="3">
        <v>6.06</v>
      </c>
      <c r="E415" s="3">
        <f t="shared" si="1"/>
        <v>1697.44</v>
      </c>
      <c r="F415" s="3">
        <f t="shared" si="2"/>
        <v>14845.184</v>
      </c>
      <c r="G415" s="3">
        <f t="shared" si="3"/>
        <v>357.9754475</v>
      </c>
      <c r="H415" s="3">
        <f t="shared" si="4"/>
        <v>1.121894368</v>
      </c>
      <c r="I415" s="3">
        <f t="shared" si="5"/>
        <v>9.811674237</v>
      </c>
      <c r="J415" s="3">
        <f t="shared" si="6"/>
        <v>46.22204795</v>
      </c>
      <c r="K415" s="3">
        <f t="shared" si="7"/>
        <v>404.2409786</v>
      </c>
      <c r="L415" s="3">
        <f t="shared" si="8"/>
        <v>0.02723044582</v>
      </c>
      <c r="M415" s="3">
        <f t="shared" si="9"/>
        <v>0.1496837511</v>
      </c>
      <c r="N415" s="3">
        <f t="shared" si="10"/>
        <v>0.3868898437</v>
      </c>
    </row>
    <row r="416" ht="14.25" customHeight="1">
      <c r="A416" s="3">
        <v>41.3</v>
      </c>
      <c r="B416" s="3">
        <v>351.87</v>
      </c>
      <c r="C416" s="3">
        <v>5.02</v>
      </c>
      <c r="E416" s="3">
        <f t="shared" si="1"/>
        <v>1705.69</v>
      </c>
      <c r="F416" s="3">
        <f t="shared" si="2"/>
        <v>14532.231</v>
      </c>
      <c r="G416" s="3">
        <f t="shared" si="3"/>
        <v>358.836504</v>
      </c>
      <c r="H416" s="3">
        <f t="shared" si="4"/>
        <v>1.638862875</v>
      </c>
      <c r="I416" s="3">
        <f t="shared" si="5"/>
        <v>13.96287361</v>
      </c>
      <c r="J416" s="3">
        <f t="shared" si="6"/>
        <v>67.68503675</v>
      </c>
      <c r="K416" s="3">
        <f t="shared" si="7"/>
        <v>576.6666799</v>
      </c>
      <c r="L416" s="3">
        <f t="shared" si="8"/>
        <v>0.03968190981</v>
      </c>
      <c r="M416" s="3">
        <f t="shared" si="9"/>
        <v>1.925849524</v>
      </c>
      <c r="N416" s="3">
        <f t="shared" si="10"/>
        <v>-1.387749806</v>
      </c>
    </row>
    <row r="417" ht="14.25" customHeight="1">
      <c r="A417" s="3">
        <v>41.4</v>
      </c>
      <c r="B417" s="3">
        <v>357.5</v>
      </c>
      <c r="C417" s="3">
        <v>5.07</v>
      </c>
      <c r="E417" s="3">
        <f t="shared" si="1"/>
        <v>1713.96</v>
      </c>
      <c r="F417" s="3">
        <f t="shared" si="2"/>
        <v>14800.5</v>
      </c>
      <c r="G417" s="3">
        <f t="shared" si="3"/>
        <v>359.6975605</v>
      </c>
      <c r="H417" s="3">
        <f t="shared" si="4"/>
        <v>1.610587865</v>
      </c>
      <c r="I417" s="3">
        <f t="shared" si="5"/>
        <v>13.90785414</v>
      </c>
      <c r="J417" s="3">
        <f t="shared" si="6"/>
        <v>66.67833759</v>
      </c>
      <c r="K417" s="3">
        <f t="shared" si="7"/>
        <v>575.7851616</v>
      </c>
      <c r="L417" s="3">
        <f t="shared" si="8"/>
        <v>0.03890308852</v>
      </c>
      <c r="M417" s="3">
        <f t="shared" si="9"/>
        <v>0.1878736025</v>
      </c>
      <c r="N417" s="3">
        <f t="shared" si="10"/>
        <v>-0.4334438862</v>
      </c>
    </row>
    <row r="418" ht="14.25" customHeight="1">
      <c r="A418" s="3">
        <v>41.5</v>
      </c>
      <c r="B418" s="3">
        <v>377.01</v>
      </c>
      <c r="C418" s="3">
        <v>8.54</v>
      </c>
      <c r="E418" s="3">
        <f t="shared" si="1"/>
        <v>1722.25</v>
      </c>
      <c r="F418" s="3">
        <f t="shared" si="2"/>
        <v>15645.915</v>
      </c>
      <c r="G418" s="3">
        <f t="shared" si="3"/>
        <v>360.558617</v>
      </c>
      <c r="H418" s="3">
        <f t="shared" si="4"/>
        <v>0.5690263206</v>
      </c>
      <c r="I418" s="3">
        <f t="shared" si="5"/>
        <v>5.169364171</v>
      </c>
      <c r="J418" s="3">
        <f t="shared" si="6"/>
        <v>23.6145923</v>
      </c>
      <c r="K418" s="3">
        <f t="shared" si="7"/>
        <v>214.5286131</v>
      </c>
      <c r="L418" s="3">
        <f t="shared" si="8"/>
        <v>0.0137114776</v>
      </c>
      <c r="M418" s="3">
        <f t="shared" si="9"/>
        <v>3.710984035</v>
      </c>
      <c r="N418" s="3">
        <f t="shared" si="10"/>
        <v>1.926391454</v>
      </c>
    </row>
    <row r="419" ht="14.25" customHeight="1">
      <c r="A419" s="3">
        <v>41.6</v>
      </c>
      <c r="B419" s="3">
        <v>369.67</v>
      </c>
      <c r="C419" s="3">
        <v>10.79</v>
      </c>
      <c r="E419" s="3">
        <f t="shared" si="1"/>
        <v>1730.56</v>
      </c>
      <c r="F419" s="3">
        <f t="shared" si="2"/>
        <v>15378.272</v>
      </c>
      <c r="G419" s="3">
        <f t="shared" si="3"/>
        <v>361.4196735</v>
      </c>
      <c r="H419" s="3">
        <f t="shared" si="4"/>
        <v>0.3573143361</v>
      </c>
      <c r="I419" s="3">
        <f t="shared" si="5"/>
        <v>3.175201698</v>
      </c>
      <c r="J419" s="3">
        <f t="shared" si="6"/>
        <v>14.86427638</v>
      </c>
      <c r="K419" s="3">
        <f t="shared" si="7"/>
        <v>132.0883906</v>
      </c>
      <c r="L419" s="3">
        <f t="shared" si="8"/>
        <v>0.008589286926</v>
      </c>
      <c r="M419" s="3">
        <f t="shared" si="9"/>
        <v>0.5846546208</v>
      </c>
      <c r="N419" s="3">
        <f t="shared" si="10"/>
        <v>0.7646271122</v>
      </c>
    </row>
    <row r="420" ht="14.25" customHeight="1">
      <c r="A420" s="3">
        <v>41.7</v>
      </c>
      <c r="B420" s="3">
        <v>355.9</v>
      </c>
      <c r="C420" s="3">
        <v>10.79</v>
      </c>
      <c r="E420" s="3">
        <f t="shared" si="1"/>
        <v>1738.89</v>
      </c>
      <c r="F420" s="3">
        <f t="shared" si="2"/>
        <v>14841.03</v>
      </c>
      <c r="G420" s="3">
        <f t="shared" si="3"/>
        <v>362.2807299</v>
      </c>
      <c r="H420" s="3">
        <f t="shared" si="4"/>
        <v>0.3581732648</v>
      </c>
      <c r="I420" s="3">
        <f t="shared" si="5"/>
        <v>3.056927217</v>
      </c>
      <c r="J420" s="3">
        <f t="shared" si="6"/>
        <v>14.93582514</v>
      </c>
      <c r="K420" s="3">
        <f t="shared" si="7"/>
        <v>127.4738649</v>
      </c>
      <c r="L420" s="3">
        <f t="shared" si="8"/>
        <v>0.008589286926</v>
      </c>
      <c r="M420" s="3">
        <f t="shared" si="9"/>
        <v>0.3497017759</v>
      </c>
      <c r="N420" s="3">
        <f t="shared" si="10"/>
        <v>-0.5913558792</v>
      </c>
    </row>
    <row r="421" ht="14.25" customHeight="1">
      <c r="A421" s="3">
        <v>41.8</v>
      </c>
      <c r="B421" s="3">
        <v>364.77</v>
      </c>
      <c r="C421" s="3">
        <v>7.46</v>
      </c>
      <c r="E421" s="3">
        <f t="shared" si="1"/>
        <v>1747.24</v>
      </c>
      <c r="F421" s="3">
        <f t="shared" si="2"/>
        <v>15247.386</v>
      </c>
      <c r="G421" s="3">
        <f t="shared" si="3"/>
        <v>363.1417864</v>
      </c>
      <c r="H421" s="3">
        <f t="shared" si="4"/>
        <v>0.7511014957</v>
      </c>
      <c r="I421" s="3">
        <f t="shared" si="5"/>
        <v>6.554528531</v>
      </c>
      <c r="J421" s="3">
        <f t="shared" si="6"/>
        <v>31.39604252</v>
      </c>
      <c r="K421" s="3">
        <f t="shared" si="7"/>
        <v>273.9792926</v>
      </c>
      <c r="L421" s="3">
        <f t="shared" si="8"/>
        <v>0.0179689353</v>
      </c>
      <c r="M421" s="3">
        <f t="shared" si="9"/>
        <v>0.04763707566</v>
      </c>
      <c r="N421" s="3">
        <f t="shared" si="10"/>
        <v>0.2182591937</v>
      </c>
    </row>
    <row r="422" ht="14.25" customHeight="1">
      <c r="A422" s="3">
        <v>41.9</v>
      </c>
      <c r="B422" s="3">
        <v>369.4</v>
      </c>
      <c r="C422" s="3">
        <v>4.82</v>
      </c>
      <c r="E422" s="3">
        <f t="shared" si="1"/>
        <v>1755.61</v>
      </c>
      <c r="F422" s="3">
        <f t="shared" si="2"/>
        <v>15477.86</v>
      </c>
      <c r="G422" s="3">
        <f t="shared" si="3"/>
        <v>364.0028429</v>
      </c>
      <c r="H422" s="3">
        <f t="shared" si="4"/>
        <v>1.80351578</v>
      </c>
      <c r="I422" s="3">
        <f t="shared" si="5"/>
        <v>15.90020833</v>
      </c>
      <c r="J422" s="3">
        <f t="shared" si="6"/>
        <v>75.56731117</v>
      </c>
      <c r="K422" s="3">
        <f t="shared" si="7"/>
        <v>666.218729</v>
      </c>
      <c r="L422" s="3">
        <f t="shared" si="8"/>
        <v>0.04304333603</v>
      </c>
      <c r="M422" s="3">
        <f t="shared" si="9"/>
        <v>1.253822457</v>
      </c>
      <c r="N422" s="3">
        <f t="shared" si="10"/>
        <v>1.119742138</v>
      </c>
    </row>
    <row r="423" ht="14.25" customHeight="1">
      <c r="A423" s="3">
        <v>42.0</v>
      </c>
      <c r="B423" s="3">
        <v>358.06</v>
      </c>
      <c r="C423" s="3">
        <v>8.24</v>
      </c>
      <c r="E423" s="3">
        <f t="shared" si="1"/>
        <v>1764</v>
      </c>
      <c r="F423" s="3">
        <f t="shared" si="2"/>
        <v>15038.52</v>
      </c>
      <c r="G423" s="3">
        <f t="shared" si="3"/>
        <v>364.8638994</v>
      </c>
      <c r="H423" s="3">
        <f t="shared" si="4"/>
        <v>0.6185785654</v>
      </c>
      <c r="I423" s="3">
        <f t="shared" si="5"/>
        <v>5.27352955</v>
      </c>
      <c r="J423" s="3">
        <f t="shared" si="6"/>
        <v>25.98029975</v>
      </c>
      <c r="K423" s="3">
        <f t="shared" si="7"/>
        <v>221.4882411</v>
      </c>
      <c r="L423" s="3">
        <f t="shared" si="8"/>
        <v>0.01472806108</v>
      </c>
      <c r="M423" s="3">
        <f t="shared" si="9"/>
        <v>0.6818068185</v>
      </c>
      <c r="N423" s="3">
        <f t="shared" si="10"/>
        <v>-0.825715943</v>
      </c>
    </row>
    <row r="424" ht="14.25" customHeight="1">
      <c r="A424" s="3">
        <v>42.1</v>
      </c>
      <c r="B424" s="3">
        <v>362.15</v>
      </c>
      <c r="C424" s="3">
        <v>6.56</v>
      </c>
      <c r="E424" s="3">
        <f t="shared" si="1"/>
        <v>1772.41</v>
      </c>
      <c r="F424" s="3">
        <f t="shared" si="2"/>
        <v>15246.515</v>
      </c>
      <c r="G424" s="3">
        <f t="shared" si="3"/>
        <v>365.7249558</v>
      </c>
      <c r="H424" s="3">
        <f t="shared" si="4"/>
        <v>0.9783053242</v>
      </c>
      <c r="I424" s="3">
        <f t="shared" si="5"/>
        <v>8.415517177</v>
      </c>
      <c r="J424" s="3">
        <f t="shared" si="6"/>
        <v>41.18665415</v>
      </c>
      <c r="K424" s="3">
        <f t="shared" si="7"/>
        <v>354.2932732</v>
      </c>
      <c r="L424" s="3">
        <f t="shared" si="8"/>
        <v>0.02323765616</v>
      </c>
      <c r="M424" s="3">
        <f t="shared" si="9"/>
        <v>0.2969844335</v>
      </c>
      <c r="N424" s="3">
        <f t="shared" si="10"/>
        <v>-0.5449627817</v>
      </c>
    </row>
    <row r="425" ht="14.25" customHeight="1">
      <c r="A425" s="3">
        <v>42.2</v>
      </c>
      <c r="B425" s="3">
        <v>388.77</v>
      </c>
      <c r="C425" s="3">
        <v>8.63</v>
      </c>
      <c r="E425" s="3">
        <f t="shared" si="1"/>
        <v>1780.84</v>
      </c>
      <c r="F425" s="3">
        <f t="shared" si="2"/>
        <v>16406.094</v>
      </c>
      <c r="G425" s="3">
        <f t="shared" si="3"/>
        <v>366.5860123</v>
      </c>
      <c r="H425" s="3">
        <f t="shared" si="4"/>
        <v>0.5666186428</v>
      </c>
      <c r="I425" s="3">
        <f t="shared" si="5"/>
        <v>5.220007815</v>
      </c>
      <c r="J425" s="3">
        <f t="shared" si="6"/>
        <v>23.91130673</v>
      </c>
      <c r="K425" s="3">
        <f t="shared" si="7"/>
        <v>220.2843298</v>
      </c>
      <c r="L425" s="3">
        <f t="shared" si="8"/>
        <v>0.01342698206</v>
      </c>
      <c r="M425" s="3">
        <f t="shared" si="9"/>
        <v>6.607811403</v>
      </c>
      <c r="N425" s="3">
        <f t="shared" si="10"/>
        <v>2.570566359</v>
      </c>
    </row>
    <row r="426" ht="14.25" customHeight="1">
      <c r="A426" s="3">
        <v>42.3</v>
      </c>
      <c r="B426" s="3">
        <v>373.1</v>
      </c>
      <c r="C426" s="3">
        <v>7.01</v>
      </c>
      <c r="E426" s="3">
        <f t="shared" si="1"/>
        <v>1789.29</v>
      </c>
      <c r="F426" s="3">
        <f t="shared" si="2"/>
        <v>15782.13</v>
      </c>
      <c r="G426" s="3">
        <f t="shared" si="3"/>
        <v>367.4470688</v>
      </c>
      <c r="H426" s="3">
        <f t="shared" si="4"/>
        <v>0.8608041091</v>
      </c>
      <c r="I426" s="3">
        <f t="shared" si="5"/>
        <v>7.592577142</v>
      </c>
      <c r="J426" s="3">
        <f t="shared" si="6"/>
        <v>36.41201381</v>
      </c>
      <c r="K426" s="3">
        <f t="shared" si="7"/>
        <v>321.1660131</v>
      </c>
      <c r="L426" s="3">
        <f t="shared" si="8"/>
        <v>0.02034997894</v>
      </c>
      <c r="M426" s="3">
        <f t="shared" si="9"/>
        <v>0.65029642</v>
      </c>
      <c r="N426" s="3">
        <f t="shared" si="10"/>
        <v>0.8064095857</v>
      </c>
    </row>
    <row r="427" ht="14.25" customHeight="1">
      <c r="A427" s="3">
        <v>42.4</v>
      </c>
      <c r="B427" s="3">
        <v>368.85</v>
      </c>
      <c r="C427" s="3">
        <v>6.33</v>
      </c>
      <c r="E427" s="3">
        <f t="shared" si="1"/>
        <v>1797.76</v>
      </c>
      <c r="F427" s="3">
        <f t="shared" si="2"/>
        <v>15639.24</v>
      </c>
      <c r="G427" s="3">
        <f t="shared" si="3"/>
        <v>368.3081253</v>
      </c>
      <c r="H427" s="3">
        <f t="shared" si="4"/>
        <v>1.05817729</v>
      </c>
      <c r="I427" s="3">
        <f t="shared" si="5"/>
        <v>9.205393709</v>
      </c>
      <c r="J427" s="3">
        <f t="shared" si="6"/>
        <v>44.86671708</v>
      </c>
      <c r="K427" s="3">
        <f t="shared" si="7"/>
        <v>390.3086933</v>
      </c>
      <c r="L427" s="3">
        <f t="shared" si="8"/>
        <v>0.02495701155</v>
      </c>
      <c r="M427" s="3">
        <f t="shared" si="9"/>
        <v>0.007328082633</v>
      </c>
      <c r="N427" s="3">
        <f t="shared" si="10"/>
        <v>0.08560422088</v>
      </c>
    </row>
    <row r="428" ht="14.25" customHeight="1">
      <c r="A428" s="3">
        <v>42.5</v>
      </c>
      <c r="B428" s="3">
        <v>372.07</v>
      </c>
      <c r="C428" s="3">
        <v>4.52</v>
      </c>
      <c r="E428" s="3">
        <f t="shared" si="1"/>
        <v>1806.25</v>
      </c>
      <c r="F428" s="3">
        <f t="shared" si="2"/>
        <v>15812.975</v>
      </c>
      <c r="G428" s="3">
        <f t="shared" si="3"/>
        <v>369.1691818</v>
      </c>
      <c r="H428" s="3">
        <f t="shared" si="4"/>
        <v>2.080233378</v>
      </c>
      <c r="I428" s="3">
        <f t="shared" si="5"/>
        <v>18.21158666</v>
      </c>
      <c r="J428" s="3">
        <f t="shared" si="6"/>
        <v>88.40991855</v>
      </c>
      <c r="K428" s="3">
        <f t="shared" si="7"/>
        <v>773.9924328</v>
      </c>
      <c r="L428" s="3">
        <f t="shared" si="8"/>
        <v>0.04894666771</v>
      </c>
      <c r="M428" s="3">
        <f t="shared" si="9"/>
        <v>0.411873799</v>
      </c>
      <c r="N428" s="3">
        <f t="shared" si="10"/>
        <v>0.641773947</v>
      </c>
    </row>
    <row r="429" ht="14.25" customHeight="1">
      <c r="A429" s="3">
        <v>42.6</v>
      </c>
      <c r="B429" s="3">
        <v>365.53</v>
      </c>
      <c r="C429" s="3">
        <v>7.54</v>
      </c>
      <c r="E429" s="3">
        <f t="shared" si="1"/>
        <v>1814.76</v>
      </c>
      <c r="F429" s="3">
        <f t="shared" si="2"/>
        <v>15571.578</v>
      </c>
      <c r="G429" s="3">
        <f t="shared" si="3"/>
        <v>370.0302382</v>
      </c>
      <c r="H429" s="3">
        <f t="shared" si="4"/>
        <v>0.7493192804</v>
      </c>
      <c r="I429" s="3">
        <f t="shared" si="5"/>
        <v>6.429546398</v>
      </c>
      <c r="J429" s="3">
        <f t="shared" si="6"/>
        <v>31.92100134</v>
      </c>
      <c r="K429" s="3">
        <f t="shared" si="7"/>
        <v>273.8986766</v>
      </c>
      <c r="L429" s="3">
        <f t="shared" si="8"/>
        <v>0.01758965447</v>
      </c>
      <c r="M429" s="3">
        <f t="shared" si="9"/>
        <v>0.3562282186</v>
      </c>
      <c r="N429" s="3">
        <f t="shared" si="10"/>
        <v>-0.5968485726</v>
      </c>
    </row>
    <row r="430" ht="14.25" customHeight="1">
      <c r="A430" s="3">
        <v>42.7</v>
      </c>
      <c r="B430" s="3">
        <v>360.61</v>
      </c>
      <c r="C430" s="3">
        <v>4.25</v>
      </c>
      <c r="E430" s="3">
        <f t="shared" si="1"/>
        <v>1823.29</v>
      </c>
      <c r="F430" s="3">
        <f t="shared" si="2"/>
        <v>15398.047</v>
      </c>
      <c r="G430" s="3">
        <f t="shared" si="3"/>
        <v>370.8912947</v>
      </c>
      <c r="H430" s="3">
        <f t="shared" si="4"/>
        <v>2.364013841</v>
      </c>
      <c r="I430" s="3">
        <f t="shared" si="5"/>
        <v>19.96456747</v>
      </c>
      <c r="J430" s="3">
        <f t="shared" si="6"/>
        <v>100.943391</v>
      </c>
      <c r="K430" s="3">
        <f t="shared" si="7"/>
        <v>852.4870311</v>
      </c>
      <c r="L430" s="3">
        <f t="shared" si="8"/>
        <v>0.0553633218</v>
      </c>
      <c r="M430" s="3">
        <f t="shared" si="9"/>
        <v>5.852181095</v>
      </c>
      <c r="N430" s="3">
        <f t="shared" si="10"/>
        <v>-2.419128168</v>
      </c>
    </row>
    <row r="431" ht="14.25" customHeight="1">
      <c r="A431" s="3">
        <v>42.8</v>
      </c>
      <c r="B431" s="3">
        <v>379.44</v>
      </c>
      <c r="C431" s="3">
        <v>8.05</v>
      </c>
      <c r="E431" s="3">
        <f t="shared" si="1"/>
        <v>1831.84</v>
      </c>
      <c r="F431" s="3">
        <f t="shared" si="2"/>
        <v>16240.032</v>
      </c>
      <c r="G431" s="3">
        <f t="shared" si="3"/>
        <v>371.7523512</v>
      </c>
      <c r="H431" s="3">
        <f t="shared" si="4"/>
        <v>0.6604683461</v>
      </c>
      <c r="I431" s="3">
        <f t="shared" si="5"/>
        <v>5.855329655</v>
      </c>
      <c r="J431" s="3">
        <f t="shared" si="6"/>
        <v>28.26804521</v>
      </c>
      <c r="K431" s="3">
        <f t="shared" si="7"/>
        <v>250.6081093</v>
      </c>
      <c r="L431" s="3">
        <f t="shared" si="8"/>
        <v>0.01543150341</v>
      </c>
      <c r="M431" s="3">
        <f t="shared" si="9"/>
        <v>0.9120009903</v>
      </c>
      <c r="N431" s="3">
        <f t="shared" si="10"/>
        <v>0.9549874294</v>
      </c>
    </row>
    <row r="432" ht="14.25" customHeight="1">
      <c r="A432" s="3">
        <v>42.9</v>
      </c>
      <c r="B432" s="3">
        <v>373.12</v>
      </c>
      <c r="C432" s="3">
        <v>4.48</v>
      </c>
      <c r="E432" s="3">
        <f t="shared" si="1"/>
        <v>1840.41</v>
      </c>
      <c r="F432" s="3">
        <f t="shared" si="2"/>
        <v>16006.848</v>
      </c>
      <c r="G432" s="3">
        <f t="shared" si="3"/>
        <v>372.6134077</v>
      </c>
      <c r="H432" s="3">
        <f t="shared" si="4"/>
        <v>2.137476084</v>
      </c>
      <c r="I432" s="3">
        <f t="shared" si="5"/>
        <v>18.59056122</v>
      </c>
      <c r="J432" s="3">
        <f t="shared" si="6"/>
        <v>91.69772401</v>
      </c>
      <c r="K432" s="3">
        <f t="shared" si="7"/>
        <v>797.5350765</v>
      </c>
      <c r="L432" s="3">
        <f t="shared" si="8"/>
        <v>0.04982461735</v>
      </c>
      <c r="M432" s="3">
        <f t="shared" si="9"/>
        <v>0.01278677992</v>
      </c>
      <c r="N432" s="3">
        <f t="shared" si="10"/>
        <v>0.1130786448</v>
      </c>
    </row>
    <row r="433" ht="14.25" customHeight="1">
      <c r="A433" s="3">
        <v>43.0</v>
      </c>
      <c r="B433" s="3">
        <v>361.93</v>
      </c>
      <c r="C433" s="3">
        <v>4.61</v>
      </c>
      <c r="E433" s="3">
        <f t="shared" si="1"/>
        <v>1849</v>
      </c>
      <c r="F433" s="3">
        <f t="shared" si="2"/>
        <v>15562.99</v>
      </c>
      <c r="G433" s="3">
        <f t="shared" si="3"/>
        <v>373.4744641</v>
      </c>
      <c r="H433" s="3">
        <f t="shared" si="4"/>
        <v>2.023329459</v>
      </c>
      <c r="I433" s="3">
        <f t="shared" si="5"/>
        <v>17.030317</v>
      </c>
      <c r="J433" s="3">
        <f t="shared" si="6"/>
        <v>87.00316675</v>
      </c>
      <c r="K433" s="3">
        <f t="shared" si="7"/>
        <v>732.3036312</v>
      </c>
      <c r="L433" s="3">
        <f t="shared" si="8"/>
        <v>0.04705417347</v>
      </c>
      <c r="M433" s="3">
        <f t="shared" si="9"/>
        <v>6.271128617</v>
      </c>
      <c r="N433" s="3">
        <f t="shared" si="10"/>
        <v>-2.504222158</v>
      </c>
    </row>
    <row r="434" ht="14.25" customHeight="1">
      <c r="A434" s="3">
        <v>43.1</v>
      </c>
      <c r="B434" s="3">
        <v>384.35</v>
      </c>
      <c r="C434" s="3">
        <v>11.14</v>
      </c>
      <c r="E434" s="3">
        <f t="shared" si="1"/>
        <v>1857.61</v>
      </c>
      <c r="F434" s="3">
        <f t="shared" si="2"/>
        <v>16565.485</v>
      </c>
      <c r="G434" s="3">
        <f t="shared" si="3"/>
        <v>374.3355206</v>
      </c>
      <c r="H434" s="3">
        <f t="shared" si="4"/>
        <v>0.3473016835</v>
      </c>
      <c r="I434" s="3">
        <f t="shared" si="5"/>
        <v>3.097109096</v>
      </c>
      <c r="J434" s="3">
        <f t="shared" si="6"/>
        <v>14.96870256</v>
      </c>
      <c r="K434" s="3">
        <f t="shared" si="7"/>
        <v>133.485402</v>
      </c>
      <c r="L434" s="3">
        <f t="shared" si="8"/>
        <v>0.0080580437</v>
      </c>
      <c r="M434" s="3">
        <f t="shared" si="9"/>
        <v>0.8081395679</v>
      </c>
      <c r="N434" s="3">
        <f t="shared" si="10"/>
        <v>0.8989658324</v>
      </c>
    </row>
    <row r="435" ht="14.25" customHeight="1">
      <c r="A435" s="3">
        <v>43.2</v>
      </c>
      <c r="B435" s="3">
        <v>377.29</v>
      </c>
      <c r="C435" s="3">
        <v>3.85</v>
      </c>
      <c r="E435" s="3">
        <f t="shared" si="1"/>
        <v>1866.24</v>
      </c>
      <c r="F435" s="3">
        <f t="shared" si="2"/>
        <v>16298.928</v>
      </c>
      <c r="G435" s="3">
        <f t="shared" si="3"/>
        <v>375.1965771</v>
      </c>
      <c r="H435" s="3">
        <f t="shared" si="4"/>
        <v>2.914488109</v>
      </c>
      <c r="I435" s="3">
        <f t="shared" si="5"/>
        <v>25.4538708</v>
      </c>
      <c r="J435" s="3">
        <f t="shared" si="6"/>
        <v>125.9058863</v>
      </c>
      <c r="K435" s="3">
        <f t="shared" si="7"/>
        <v>1099.607219</v>
      </c>
      <c r="L435" s="3">
        <f t="shared" si="8"/>
        <v>0.06746500253</v>
      </c>
      <c r="M435" s="3">
        <f t="shared" si="9"/>
        <v>0.2956599372</v>
      </c>
      <c r="N435" s="3">
        <f t="shared" si="10"/>
        <v>0.5437462066</v>
      </c>
    </row>
    <row r="436" ht="14.25" customHeight="1">
      <c r="A436" s="3">
        <v>43.3</v>
      </c>
      <c r="B436" s="3">
        <v>379.33</v>
      </c>
      <c r="C436" s="3">
        <v>4.57</v>
      </c>
      <c r="E436" s="3">
        <f t="shared" si="1"/>
        <v>1874.89</v>
      </c>
      <c r="F436" s="3">
        <f t="shared" si="2"/>
        <v>16424.989</v>
      </c>
      <c r="G436" s="3">
        <f t="shared" si="3"/>
        <v>376.0576336</v>
      </c>
      <c r="H436" s="3">
        <f t="shared" si="4"/>
        <v>2.073268246</v>
      </c>
      <c r="I436" s="3">
        <f t="shared" si="5"/>
        <v>18.16288323</v>
      </c>
      <c r="J436" s="3">
        <f t="shared" si="6"/>
        <v>89.77251507</v>
      </c>
      <c r="K436" s="3">
        <f t="shared" si="7"/>
        <v>786.4528439</v>
      </c>
      <c r="L436" s="3">
        <f t="shared" si="8"/>
        <v>0.04788148375</v>
      </c>
      <c r="M436" s="3">
        <f t="shared" si="9"/>
        <v>0.5127332173</v>
      </c>
      <c r="N436" s="3">
        <f t="shared" si="10"/>
        <v>0.7160539207</v>
      </c>
    </row>
    <row r="437" ht="14.25" customHeight="1">
      <c r="A437" s="3">
        <v>43.4</v>
      </c>
      <c r="B437" s="3">
        <v>377.28</v>
      </c>
      <c r="C437" s="3">
        <v>10.2</v>
      </c>
      <c r="E437" s="3">
        <f t="shared" si="1"/>
        <v>1883.56</v>
      </c>
      <c r="F437" s="3">
        <f t="shared" si="2"/>
        <v>16373.952</v>
      </c>
      <c r="G437" s="3">
        <f t="shared" si="3"/>
        <v>376.9186901</v>
      </c>
      <c r="H437" s="3">
        <f t="shared" si="4"/>
        <v>0.4171472511</v>
      </c>
      <c r="I437" s="3">
        <f t="shared" si="5"/>
        <v>3.626297578</v>
      </c>
      <c r="J437" s="3">
        <f t="shared" si="6"/>
        <v>18.1041907</v>
      </c>
      <c r="K437" s="3">
        <f t="shared" si="7"/>
        <v>157.3813149</v>
      </c>
      <c r="L437" s="3">
        <f t="shared" si="8"/>
        <v>0.009611687812</v>
      </c>
      <c r="M437" s="3">
        <f t="shared" si="9"/>
        <v>0.001254756559</v>
      </c>
      <c r="N437" s="3">
        <f t="shared" si="10"/>
        <v>0.03542254309</v>
      </c>
    </row>
    <row r="438" ht="14.25" customHeight="1">
      <c r="A438" s="3">
        <v>43.5</v>
      </c>
      <c r="B438" s="3">
        <v>366.88</v>
      </c>
      <c r="C438" s="3">
        <v>10.59</v>
      </c>
      <c r="E438" s="3">
        <f t="shared" si="1"/>
        <v>1892.25</v>
      </c>
      <c r="F438" s="3">
        <f t="shared" si="2"/>
        <v>15959.28</v>
      </c>
      <c r="G438" s="3">
        <f t="shared" si="3"/>
        <v>377.7797465</v>
      </c>
      <c r="H438" s="3">
        <f t="shared" si="4"/>
        <v>0.3878799552</v>
      </c>
      <c r="I438" s="3">
        <f t="shared" si="5"/>
        <v>3.271388459</v>
      </c>
      <c r="J438" s="3">
        <f t="shared" si="6"/>
        <v>16.87277805</v>
      </c>
      <c r="K438" s="3">
        <f t="shared" si="7"/>
        <v>142.305398</v>
      </c>
      <c r="L438" s="3">
        <f t="shared" si="8"/>
        <v>0.008916780579</v>
      </c>
      <c r="M438" s="3">
        <f t="shared" si="9"/>
        <v>1.059353432</v>
      </c>
      <c r="N438" s="3">
        <f t="shared" si="10"/>
        <v>-1.029248965</v>
      </c>
    </row>
    <row r="439" ht="14.25" customHeight="1">
      <c r="A439" s="3">
        <v>43.6</v>
      </c>
      <c r="B439" s="3">
        <v>373.32</v>
      </c>
      <c r="C439" s="3">
        <v>5.58</v>
      </c>
      <c r="E439" s="3">
        <f t="shared" si="1"/>
        <v>1900.96</v>
      </c>
      <c r="F439" s="3">
        <f t="shared" si="2"/>
        <v>16276.752</v>
      </c>
      <c r="G439" s="3">
        <f t="shared" si="3"/>
        <v>378.640803</v>
      </c>
      <c r="H439" s="3">
        <f t="shared" si="4"/>
        <v>1.400290335</v>
      </c>
      <c r="I439" s="3">
        <f t="shared" si="5"/>
        <v>11.98982541</v>
      </c>
      <c r="J439" s="3">
        <f t="shared" si="6"/>
        <v>61.05265862</v>
      </c>
      <c r="K439" s="3">
        <f t="shared" si="7"/>
        <v>522.756388</v>
      </c>
      <c r="L439" s="3">
        <f t="shared" si="8"/>
        <v>0.03211675081</v>
      </c>
      <c r="M439" s="3">
        <f t="shared" si="9"/>
        <v>0.9092555574</v>
      </c>
      <c r="N439" s="3">
        <f t="shared" si="10"/>
        <v>-0.9535489276</v>
      </c>
    </row>
    <row r="440" ht="14.25" customHeight="1">
      <c r="A440" s="3">
        <v>43.7</v>
      </c>
      <c r="B440" s="3">
        <v>378.62</v>
      </c>
      <c r="C440" s="3">
        <v>9.51</v>
      </c>
      <c r="E440" s="3">
        <f t="shared" si="1"/>
        <v>1909.69</v>
      </c>
      <c r="F440" s="3">
        <f t="shared" si="2"/>
        <v>16545.694</v>
      </c>
      <c r="G440" s="3">
        <f t="shared" si="3"/>
        <v>379.5018595</v>
      </c>
      <c r="H440" s="3">
        <f t="shared" si="4"/>
        <v>0.483192743</v>
      </c>
      <c r="I440" s="3">
        <f t="shared" si="5"/>
        <v>4.186417308</v>
      </c>
      <c r="J440" s="3">
        <f t="shared" si="6"/>
        <v>21.11552287</v>
      </c>
      <c r="K440" s="3">
        <f t="shared" si="7"/>
        <v>182.9464364</v>
      </c>
      <c r="L440" s="3">
        <f t="shared" si="8"/>
        <v>0.01105704217</v>
      </c>
      <c r="M440" s="3">
        <f t="shared" si="9"/>
        <v>0.008598798179</v>
      </c>
      <c r="N440" s="3">
        <f t="shared" si="10"/>
        <v>-0.09272970494</v>
      </c>
    </row>
    <row r="441" ht="14.25" customHeight="1">
      <c r="A441" s="3">
        <v>43.8</v>
      </c>
      <c r="B441" s="3">
        <v>381.27</v>
      </c>
      <c r="C441" s="3">
        <v>4.08</v>
      </c>
      <c r="E441" s="3">
        <f t="shared" si="1"/>
        <v>1918.44</v>
      </c>
      <c r="F441" s="3">
        <f t="shared" si="2"/>
        <v>16699.626</v>
      </c>
      <c r="G441" s="3">
        <f t="shared" si="3"/>
        <v>380.362916</v>
      </c>
      <c r="H441" s="3">
        <f t="shared" si="4"/>
        <v>2.631199539</v>
      </c>
      <c r="I441" s="3">
        <f t="shared" si="5"/>
        <v>22.90405133</v>
      </c>
      <c r="J441" s="3">
        <f t="shared" si="6"/>
        <v>115.2465398</v>
      </c>
      <c r="K441" s="3">
        <f t="shared" si="7"/>
        <v>1003.197448</v>
      </c>
      <c r="L441" s="3">
        <f t="shared" si="8"/>
        <v>0.06007304883</v>
      </c>
      <c r="M441" s="3">
        <f t="shared" si="9"/>
        <v>0.04942819072</v>
      </c>
      <c r="N441" s="3">
        <f t="shared" si="10"/>
        <v>0.2223245167</v>
      </c>
    </row>
    <row r="442" ht="14.25" customHeight="1">
      <c r="A442" s="3">
        <v>43.9</v>
      </c>
      <c r="B442" s="3">
        <v>377.56</v>
      </c>
      <c r="C442" s="3">
        <v>5.6</v>
      </c>
      <c r="E442" s="3">
        <f t="shared" si="1"/>
        <v>1927.21</v>
      </c>
      <c r="F442" s="3">
        <f t="shared" si="2"/>
        <v>16574.884</v>
      </c>
      <c r="G442" s="3">
        <f t="shared" si="3"/>
        <v>381.2239724</v>
      </c>
      <c r="H442" s="3">
        <f t="shared" si="4"/>
        <v>1.399872449</v>
      </c>
      <c r="I442" s="3">
        <f t="shared" si="5"/>
        <v>12.03954082</v>
      </c>
      <c r="J442" s="3">
        <f t="shared" si="6"/>
        <v>61.45440051</v>
      </c>
      <c r="K442" s="3">
        <f t="shared" si="7"/>
        <v>528.5358418</v>
      </c>
      <c r="L442" s="3">
        <f t="shared" si="8"/>
        <v>0.0318877551</v>
      </c>
      <c r="M442" s="3">
        <f t="shared" si="9"/>
        <v>0.4280833582</v>
      </c>
      <c r="N442" s="3">
        <f t="shared" si="10"/>
        <v>-0.6542807946</v>
      </c>
    </row>
    <row r="443" ht="14.25" customHeight="1">
      <c r="A443" s="3">
        <v>44.0</v>
      </c>
      <c r="B443" s="3">
        <v>379.92</v>
      </c>
      <c r="C443" s="3">
        <v>6.21</v>
      </c>
      <c r="E443" s="3">
        <f t="shared" si="1"/>
        <v>1936</v>
      </c>
      <c r="F443" s="3">
        <f t="shared" si="2"/>
        <v>16716.48</v>
      </c>
      <c r="G443" s="3">
        <f t="shared" si="3"/>
        <v>382.0850289</v>
      </c>
      <c r="H443" s="3">
        <f t="shared" si="4"/>
        <v>1.140957523</v>
      </c>
      <c r="I443" s="3">
        <f t="shared" si="5"/>
        <v>9.851649591</v>
      </c>
      <c r="J443" s="3">
        <f t="shared" si="6"/>
        <v>50.202131</v>
      </c>
      <c r="K443" s="3">
        <f t="shared" si="7"/>
        <v>433.472582</v>
      </c>
      <c r="L443" s="3">
        <f t="shared" si="8"/>
        <v>0.02593085279</v>
      </c>
      <c r="M443" s="3">
        <f t="shared" si="9"/>
        <v>0.1215469895</v>
      </c>
      <c r="N443" s="3">
        <f t="shared" si="10"/>
        <v>-0.3486358982</v>
      </c>
    </row>
    <row r="444" ht="14.25" customHeight="1">
      <c r="A444" s="3">
        <v>44.1</v>
      </c>
      <c r="B444" s="3">
        <v>383.34</v>
      </c>
      <c r="C444" s="3">
        <v>8.14</v>
      </c>
      <c r="E444" s="3">
        <f t="shared" si="1"/>
        <v>1944.81</v>
      </c>
      <c r="F444" s="3">
        <f t="shared" si="2"/>
        <v>16905.294</v>
      </c>
      <c r="G444" s="3">
        <f t="shared" si="3"/>
        <v>382.9460854</v>
      </c>
      <c r="H444" s="3">
        <f t="shared" si="4"/>
        <v>0.6655639334</v>
      </c>
      <c r="I444" s="3">
        <f t="shared" si="5"/>
        <v>5.78542581</v>
      </c>
      <c r="J444" s="3">
        <f t="shared" si="6"/>
        <v>29.35136946</v>
      </c>
      <c r="K444" s="3">
        <f t="shared" si="7"/>
        <v>255.1372782</v>
      </c>
      <c r="L444" s="3">
        <f t="shared" si="8"/>
        <v>0.01509215268</v>
      </c>
      <c r="M444" s="3">
        <f t="shared" si="9"/>
        <v>0.00234182983</v>
      </c>
      <c r="N444" s="3">
        <f t="shared" si="10"/>
        <v>0.04839245633</v>
      </c>
    </row>
    <row r="445" ht="14.25" customHeight="1">
      <c r="A445" s="3">
        <v>44.2</v>
      </c>
      <c r="B445" s="3">
        <v>376.79</v>
      </c>
      <c r="C445" s="3">
        <v>11.15</v>
      </c>
      <c r="E445" s="3">
        <f t="shared" si="1"/>
        <v>1953.64</v>
      </c>
      <c r="F445" s="3">
        <f t="shared" si="2"/>
        <v>16654.118</v>
      </c>
      <c r="G445" s="3">
        <f t="shared" si="3"/>
        <v>383.8071419</v>
      </c>
      <c r="H445" s="3">
        <f t="shared" si="4"/>
        <v>0.3555269561</v>
      </c>
      <c r="I445" s="3">
        <f t="shared" si="5"/>
        <v>3.030746647</v>
      </c>
      <c r="J445" s="3">
        <f t="shared" si="6"/>
        <v>15.71429146</v>
      </c>
      <c r="K445" s="3">
        <f t="shared" si="7"/>
        <v>133.9590018</v>
      </c>
      <c r="L445" s="3">
        <f t="shared" si="8"/>
        <v>0.008043596292</v>
      </c>
      <c r="M445" s="3">
        <f t="shared" si="9"/>
        <v>0.3960689353</v>
      </c>
      <c r="N445" s="3">
        <f t="shared" si="10"/>
        <v>-0.6293400792</v>
      </c>
    </row>
    <row r="446" ht="14.25" customHeight="1">
      <c r="A446" s="3">
        <v>44.3</v>
      </c>
      <c r="B446" s="3">
        <v>384.62</v>
      </c>
      <c r="C446" s="3">
        <v>9.76</v>
      </c>
      <c r="E446" s="3">
        <f t="shared" si="1"/>
        <v>1962.49</v>
      </c>
      <c r="F446" s="3">
        <f t="shared" si="2"/>
        <v>17038.666</v>
      </c>
      <c r="G446" s="3">
        <f t="shared" si="3"/>
        <v>384.6681984</v>
      </c>
      <c r="H446" s="3">
        <f t="shared" si="4"/>
        <v>0.4650547568</v>
      </c>
      <c r="I446" s="3">
        <f t="shared" si="5"/>
        <v>4.037683083</v>
      </c>
      <c r="J446" s="3">
        <f t="shared" si="6"/>
        <v>20.60192573</v>
      </c>
      <c r="K446" s="3">
        <f t="shared" si="7"/>
        <v>178.8693606</v>
      </c>
      <c r="L446" s="3">
        <f t="shared" si="8"/>
        <v>0.01049785004</v>
      </c>
      <c r="M446" s="3">
        <f t="shared" si="9"/>
        <v>0.0000243873667</v>
      </c>
      <c r="N446" s="3">
        <f t="shared" si="10"/>
        <v>-0.00493835668</v>
      </c>
    </row>
    <row r="447" ht="14.25" customHeight="1">
      <c r="A447" s="3">
        <v>44.4</v>
      </c>
      <c r="B447" s="3">
        <v>370.81</v>
      </c>
      <c r="C447" s="3">
        <v>7.22</v>
      </c>
      <c r="E447" s="3">
        <f t="shared" si="1"/>
        <v>1971.36</v>
      </c>
      <c r="F447" s="3">
        <f t="shared" si="2"/>
        <v>16463.964</v>
      </c>
      <c r="G447" s="3">
        <f t="shared" si="3"/>
        <v>385.5292548</v>
      </c>
      <c r="H447" s="3">
        <f t="shared" si="4"/>
        <v>0.8517430038</v>
      </c>
      <c r="I447" s="3">
        <f t="shared" si="5"/>
        <v>7.11339692</v>
      </c>
      <c r="J447" s="3">
        <f t="shared" si="6"/>
        <v>37.81738937</v>
      </c>
      <c r="K447" s="3">
        <f t="shared" si="7"/>
        <v>315.8348232</v>
      </c>
      <c r="L447" s="3">
        <f t="shared" si="8"/>
        <v>0.01918340099</v>
      </c>
      <c r="M447" s="3">
        <f t="shared" si="9"/>
        <v>4.156207806</v>
      </c>
      <c r="N447" s="3">
        <f t="shared" si="10"/>
        <v>-2.038677956</v>
      </c>
    </row>
    <row r="448" ht="14.25" customHeight="1">
      <c r="A448" s="3">
        <v>44.5</v>
      </c>
      <c r="B448" s="3">
        <v>382.79</v>
      </c>
      <c r="C448" s="3">
        <v>5.54</v>
      </c>
      <c r="E448" s="3">
        <f t="shared" si="1"/>
        <v>1980.25</v>
      </c>
      <c r="F448" s="3">
        <f t="shared" si="2"/>
        <v>17034.155</v>
      </c>
      <c r="G448" s="3">
        <f t="shared" si="3"/>
        <v>386.3903113</v>
      </c>
      <c r="H448" s="3">
        <f t="shared" si="4"/>
        <v>1.449908118</v>
      </c>
      <c r="I448" s="3">
        <f t="shared" si="5"/>
        <v>12.47214221</v>
      </c>
      <c r="J448" s="3">
        <f t="shared" si="6"/>
        <v>64.52091126</v>
      </c>
      <c r="K448" s="3">
        <f t="shared" si="7"/>
        <v>555.0103286</v>
      </c>
      <c r="L448" s="3">
        <f t="shared" si="8"/>
        <v>0.0325822049</v>
      </c>
      <c r="M448" s="3">
        <f t="shared" si="9"/>
        <v>0.4223384111</v>
      </c>
      <c r="N448" s="3">
        <f t="shared" si="10"/>
        <v>-0.649875689</v>
      </c>
    </row>
    <row r="449" ht="14.25" customHeight="1">
      <c r="A449" s="3">
        <v>44.6</v>
      </c>
      <c r="B449" s="3">
        <v>383.3</v>
      </c>
      <c r="C449" s="3">
        <v>10.13</v>
      </c>
      <c r="E449" s="3">
        <f t="shared" si="1"/>
        <v>1989.16</v>
      </c>
      <c r="F449" s="3">
        <f t="shared" si="2"/>
        <v>17095.18</v>
      </c>
      <c r="G449" s="3">
        <f t="shared" si="3"/>
        <v>387.2513678</v>
      </c>
      <c r="H449" s="3">
        <f t="shared" si="4"/>
        <v>0.4346262653</v>
      </c>
      <c r="I449" s="3">
        <f t="shared" si="5"/>
        <v>3.735252186</v>
      </c>
      <c r="J449" s="3">
        <f t="shared" si="6"/>
        <v>19.38433143</v>
      </c>
      <c r="K449" s="3">
        <f t="shared" si="7"/>
        <v>166.5922475</v>
      </c>
      <c r="L449" s="3">
        <f t="shared" si="8"/>
        <v>0.009744983526</v>
      </c>
      <c r="M449" s="3">
        <f t="shared" si="9"/>
        <v>0.1521514239</v>
      </c>
      <c r="N449" s="3">
        <f t="shared" si="10"/>
        <v>-0.3900659225</v>
      </c>
    </row>
    <row r="450" ht="14.25" customHeight="1">
      <c r="A450" s="3">
        <v>44.7</v>
      </c>
      <c r="B450" s="3">
        <v>391.85</v>
      </c>
      <c r="C450" s="3">
        <v>7.82</v>
      </c>
      <c r="E450" s="3">
        <f t="shared" si="1"/>
        <v>1998.09</v>
      </c>
      <c r="F450" s="3">
        <f t="shared" si="2"/>
        <v>17515.695</v>
      </c>
      <c r="G450" s="3">
        <f t="shared" si="3"/>
        <v>388.1124243</v>
      </c>
      <c r="H450" s="3">
        <f t="shared" si="4"/>
        <v>0.7309606818</v>
      </c>
      <c r="I450" s="3">
        <f t="shared" si="5"/>
        <v>6.407761592</v>
      </c>
      <c r="J450" s="3">
        <f t="shared" si="6"/>
        <v>32.67394248</v>
      </c>
      <c r="K450" s="3">
        <f t="shared" si="7"/>
        <v>286.4269432</v>
      </c>
      <c r="L450" s="3">
        <f t="shared" si="8"/>
        <v>0.01635258796</v>
      </c>
      <c r="M450" s="3">
        <f t="shared" si="9"/>
        <v>0.2284370248</v>
      </c>
      <c r="N450" s="3">
        <f t="shared" si="10"/>
        <v>0.4779508603</v>
      </c>
    </row>
    <row r="451" ht="14.25" customHeight="1">
      <c r="A451" s="3">
        <v>44.8</v>
      </c>
      <c r="B451" s="3">
        <v>393.2</v>
      </c>
      <c r="C451" s="3">
        <v>6.59</v>
      </c>
      <c r="E451" s="3">
        <f t="shared" si="1"/>
        <v>2007.04</v>
      </c>
      <c r="F451" s="3">
        <f t="shared" si="2"/>
        <v>17615.36</v>
      </c>
      <c r="G451" s="3">
        <f t="shared" si="3"/>
        <v>388.9734808</v>
      </c>
      <c r="H451" s="3">
        <f t="shared" si="4"/>
        <v>1.031590146</v>
      </c>
      <c r="I451" s="3">
        <f t="shared" si="5"/>
        <v>9.054045652</v>
      </c>
      <c r="J451" s="3">
        <f t="shared" si="6"/>
        <v>46.21523852</v>
      </c>
      <c r="K451" s="3">
        <f t="shared" si="7"/>
        <v>405.6212452</v>
      </c>
      <c r="L451" s="3">
        <f t="shared" si="8"/>
        <v>0.02302656575</v>
      </c>
      <c r="M451" s="3">
        <f t="shared" si="9"/>
        <v>0.4113342506</v>
      </c>
      <c r="N451" s="3">
        <f t="shared" si="10"/>
        <v>0.6413534521</v>
      </c>
    </row>
    <row r="452" ht="14.25" customHeight="1">
      <c r="A452" s="3">
        <v>44.9</v>
      </c>
      <c r="B452" s="3">
        <v>388.93</v>
      </c>
      <c r="C452" s="3">
        <v>10.3</v>
      </c>
      <c r="E452" s="3">
        <f t="shared" si="1"/>
        <v>2016.01</v>
      </c>
      <c r="F452" s="3">
        <f t="shared" si="2"/>
        <v>17462.957</v>
      </c>
      <c r="G452" s="3">
        <f t="shared" si="3"/>
        <v>389.8345372</v>
      </c>
      <c r="H452" s="3">
        <f t="shared" si="4"/>
        <v>0.4232255632</v>
      </c>
      <c r="I452" s="3">
        <f t="shared" si="5"/>
        <v>3.666038269</v>
      </c>
      <c r="J452" s="3">
        <f t="shared" si="6"/>
        <v>19.00282779</v>
      </c>
      <c r="K452" s="3">
        <f t="shared" si="7"/>
        <v>164.6051183</v>
      </c>
      <c r="L452" s="3">
        <f t="shared" si="8"/>
        <v>0.009425959091</v>
      </c>
      <c r="M452" s="3">
        <f t="shared" si="9"/>
        <v>0.007712202823</v>
      </c>
      <c r="N452" s="3">
        <f t="shared" si="10"/>
        <v>-0.08781914839</v>
      </c>
    </row>
    <row r="453" ht="14.25" customHeight="1">
      <c r="A453" s="3">
        <v>45.0</v>
      </c>
      <c r="B453" s="3">
        <v>392.38</v>
      </c>
      <c r="C453" s="3">
        <v>10.07</v>
      </c>
      <c r="E453" s="3">
        <f t="shared" si="1"/>
        <v>2025</v>
      </c>
      <c r="F453" s="3">
        <f t="shared" si="2"/>
        <v>17657.1</v>
      </c>
      <c r="G453" s="3">
        <f t="shared" si="3"/>
        <v>390.6955937</v>
      </c>
      <c r="H453" s="3">
        <f t="shared" si="4"/>
        <v>0.443765538</v>
      </c>
      <c r="I453" s="3">
        <f t="shared" si="5"/>
        <v>3.869438262</v>
      </c>
      <c r="J453" s="3">
        <f t="shared" si="6"/>
        <v>19.96944921</v>
      </c>
      <c r="K453" s="3">
        <f t="shared" si="7"/>
        <v>174.1247218</v>
      </c>
      <c r="L453" s="3">
        <f t="shared" si="8"/>
        <v>0.009861456399</v>
      </c>
      <c r="M453" s="3">
        <f t="shared" si="9"/>
        <v>0.02797916632</v>
      </c>
      <c r="N453" s="3">
        <f t="shared" si="10"/>
        <v>0.1672697412</v>
      </c>
    </row>
    <row r="454" ht="14.25" customHeight="1">
      <c r="A454" s="3">
        <v>45.1</v>
      </c>
      <c r="B454" s="3">
        <v>401.57</v>
      </c>
      <c r="C454" s="3">
        <v>9.8</v>
      </c>
      <c r="E454" s="3">
        <f t="shared" si="1"/>
        <v>2034.01</v>
      </c>
      <c r="F454" s="3">
        <f t="shared" si="2"/>
        <v>18110.807</v>
      </c>
      <c r="G454" s="3">
        <f t="shared" si="3"/>
        <v>391.5566502</v>
      </c>
      <c r="H454" s="3">
        <f t="shared" si="4"/>
        <v>0.4695960017</v>
      </c>
      <c r="I454" s="3">
        <f t="shared" si="5"/>
        <v>4.181278634</v>
      </c>
      <c r="J454" s="3">
        <f t="shared" si="6"/>
        <v>21.17877968</v>
      </c>
      <c r="K454" s="3">
        <f t="shared" si="7"/>
        <v>188.5756664</v>
      </c>
      <c r="L454" s="3">
        <f t="shared" si="8"/>
        <v>0.0104123282</v>
      </c>
      <c r="M454" s="3">
        <f t="shared" si="9"/>
        <v>1.044014729</v>
      </c>
      <c r="N454" s="3">
        <f t="shared" si="10"/>
        <v>1.021770389</v>
      </c>
    </row>
    <row r="455" ht="14.25" customHeight="1">
      <c r="A455" s="3">
        <v>45.2</v>
      </c>
      <c r="B455" s="3">
        <v>384.22</v>
      </c>
      <c r="C455" s="3">
        <v>5.24</v>
      </c>
      <c r="E455" s="3">
        <f t="shared" si="1"/>
        <v>2043.04</v>
      </c>
      <c r="F455" s="3">
        <f t="shared" si="2"/>
        <v>17366.744</v>
      </c>
      <c r="G455" s="3">
        <f t="shared" si="3"/>
        <v>392.4177067</v>
      </c>
      <c r="H455" s="3">
        <f t="shared" si="4"/>
        <v>1.646174465</v>
      </c>
      <c r="I455" s="3">
        <f t="shared" si="5"/>
        <v>13.99321135</v>
      </c>
      <c r="J455" s="3">
        <f t="shared" si="6"/>
        <v>74.40708583</v>
      </c>
      <c r="K455" s="3">
        <f t="shared" si="7"/>
        <v>632.4931531</v>
      </c>
      <c r="L455" s="3">
        <f t="shared" si="8"/>
        <v>0.03641978906</v>
      </c>
      <c r="M455" s="3">
        <f t="shared" si="9"/>
        <v>2.447497032</v>
      </c>
      <c r="N455" s="3">
        <f t="shared" si="10"/>
        <v>-1.564447836</v>
      </c>
    </row>
    <row r="456" ht="14.25" customHeight="1">
      <c r="A456" s="3">
        <v>45.3</v>
      </c>
      <c r="B456" s="3">
        <v>395.77</v>
      </c>
      <c r="C456" s="3">
        <v>4.85</v>
      </c>
      <c r="E456" s="3">
        <f t="shared" si="1"/>
        <v>2052.09</v>
      </c>
      <c r="F456" s="3">
        <f t="shared" si="2"/>
        <v>17928.381</v>
      </c>
      <c r="G456" s="3">
        <f t="shared" si="3"/>
        <v>393.2787631</v>
      </c>
      <c r="H456" s="3">
        <f t="shared" si="4"/>
        <v>1.925815708</v>
      </c>
      <c r="I456" s="3">
        <f t="shared" si="5"/>
        <v>16.82516739</v>
      </c>
      <c r="J456" s="3">
        <f t="shared" si="6"/>
        <v>87.23945159</v>
      </c>
      <c r="K456" s="3">
        <f t="shared" si="7"/>
        <v>762.1800829</v>
      </c>
      <c r="L456" s="3">
        <f t="shared" si="8"/>
        <v>0.04251248804</v>
      </c>
      <c r="M456" s="3">
        <f t="shared" si="9"/>
        <v>0.2638436005</v>
      </c>
      <c r="N456" s="3">
        <f t="shared" si="10"/>
        <v>0.5136570846</v>
      </c>
    </row>
    <row r="457" ht="14.25" customHeight="1">
      <c r="A457" s="3">
        <v>45.4</v>
      </c>
      <c r="B457" s="3">
        <v>395.45</v>
      </c>
      <c r="C457" s="3">
        <v>10.03</v>
      </c>
      <c r="E457" s="3">
        <f t="shared" si="1"/>
        <v>2061.16</v>
      </c>
      <c r="F457" s="3">
        <f t="shared" si="2"/>
        <v>17953.43</v>
      </c>
      <c r="G457" s="3">
        <f t="shared" si="3"/>
        <v>394.1398196</v>
      </c>
      <c r="H457" s="3">
        <f t="shared" si="4"/>
        <v>0.4512882092</v>
      </c>
      <c r="I457" s="3">
        <f t="shared" si="5"/>
        <v>3.930879346</v>
      </c>
      <c r="J457" s="3">
        <f t="shared" si="6"/>
        <v>20.4884847</v>
      </c>
      <c r="K457" s="3">
        <f t="shared" si="7"/>
        <v>178.4619223</v>
      </c>
      <c r="L457" s="3">
        <f t="shared" si="8"/>
        <v>0.009940268924</v>
      </c>
      <c r="M457" s="3">
        <f t="shared" si="9"/>
        <v>0.01706319361</v>
      </c>
      <c r="N457" s="3">
        <f t="shared" si="10"/>
        <v>0.1306261598</v>
      </c>
    </row>
    <row r="458" ht="14.25" customHeight="1">
      <c r="A458" s="3">
        <v>45.5</v>
      </c>
      <c r="B458" s="3">
        <v>406.24</v>
      </c>
      <c r="C458" s="3">
        <v>5.23</v>
      </c>
      <c r="E458" s="3">
        <f t="shared" si="1"/>
        <v>2070.25</v>
      </c>
      <c r="F458" s="3">
        <f t="shared" si="2"/>
        <v>18483.92</v>
      </c>
      <c r="G458" s="3">
        <f t="shared" si="3"/>
        <v>395.0008761</v>
      </c>
      <c r="H458" s="3">
        <f t="shared" si="4"/>
        <v>1.663443364</v>
      </c>
      <c r="I458" s="3">
        <f t="shared" si="5"/>
        <v>14.8518073</v>
      </c>
      <c r="J458" s="3">
        <f t="shared" si="6"/>
        <v>75.68667308</v>
      </c>
      <c r="K458" s="3">
        <f t="shared" si="7"/>
        <v>675.7572323</v>
      </c>
      <c r="L458" s="3">
        <f t="shared" si="8"/>
        <v>0.03655919482</v>
      </c>
      <c r="M458" s="3">
        <f t="shared" si="9"/>
        <v>4.61808094</v>
      </c>
      <c r="N458" s="3">
        <f t="shared" si="10"/>
        <v>2.148972066</v>
      </c>
    </row>
    <row r="459" ht="14.25" customHeight="1">
      <c r="A459" s="3">
        <v>45.6</v>
      </c>
      <c r="B459" s="3">
        <v>396.98</v>
      </c>
      <c r="C459" s="3">
        <v>6.5</v>
      </c>
      <c r="E459" s="3">
        <f t="shared" si="1"/>
        <v>2079.36</v>
      </c>
      <c r="F459" s="3">
        <f t="shared" si="2"/>
        <v>18102.288</v>
      </c>
      <c r="G459" s="3">
        <f t="shared" si="3"/>
        <v>395.8619326</v>
      </c>
      <c r="H459" s="3">
        <f t="shared" si="4"/>
        <v>1.079289941</v>
      </c>
      <c r="I459" s="3">
        <f t="shared" si="5"/>
        <v>9.395976331</v>
      </c>
      <c r="J459" s="3">
        <f t="shared" si="6"/>
        <v>49.2156213</v>
      </c>
      <c r="K459" s="3">
        <f t="shared" si="7"/>
        <v>428.4565207</v>
      </c>
      <c r="L459" s="3">
        <f t="shared" si="8"/>
        <v>0.02366863905</v>
      </c>
      <c r="M459" s="3">
        <f t="shared" si="9"/>
        <v>0.02958756853</v>
      </c>
      <c r="N459" s="3">
        <f t="shared" si="10"/>
        <v>0.1720103733</v>
      </c>
    </row>
    <row r="460" ht="14.25" customHeight="1">
      <c r="A460" s="3">
        <v>45.7</v>
      </c>
      <c r="B460" s="3">
        <v>412.12</v>
      </c>
      <c r="C460" s="3">
        <v>10.48</v>
      </c>
      <c r="E460" s="3">
        <f t="shared" si="1"/>
        <v>2088.49</v>
      </c>
      <c r="F460" s="3">
        <f t="shared" si="2"/>
        <v>18833.884</v>
      </c>
      <c r="G460" s="3">
        <f t="shared" si="3"/>
        <v>396.7229891</v>
      </c>
      <c r="H460" s="3">
        <f t="shared" si="4"/>
        <v>0.41609609</v>
      </c>
      <c r="I460" s="3">
        <f t="shared" si="5"/>
        <v>3.752330866</v>
      </c>
      <c r="J460" s="3">
        <f t="shared" si="6"/>
        <v>19.01559131</v>
      </c>
      <c r="K460" s="3">
        <f t="shared" si="7"/>
        <v>171.4815206</v>
      </c>
      <c r="L460" s="3">
        <f t="shared" si="8"/>
        <v>0.009104947264</v>
      </c>
      <c r="M460" s="3">
        <f t="shared" si="9"/>
        <v>2.158491148</v>
      </c>
      <c r="N460" s="3">
        <f t="shared" si="10"/>
        <v>1.469180434</v>
      </c>
    </row>
    <row r="461" ht="14.25" customHeight="1">
      <c r="A461" s="3">
        <v>45.8</v>
      </c>
      <c r="B461" s="3">
        <v>399.51</v>
      </c>
      <c r="C461" s="3">
        <v>10.68</v>
      </c>
      <c r="E461" s="3">
        <f t="shared" si="1"/>
        <v>2097.64</v>
      </c>
      <c r="F461" s="3">
        <f t="shared" si="2"/>
        <v>18297.558</v>
      </c>
      <c r="G461" s="3">
        <f t="shared" si="3"/>
        <v>397.5840455</v>
      </c>
      <c r="H461" s="3">
        <f t="shared" si="4"/>
        <v>0.4015345986</v>
      </c>
      <c r="I461" s="3">
        <f t="shared" si="5"/>
        <v>3.502556495</v>
      </c>
      <c r="J461" s="3">
        <f t="shared" si="6"/>
        <v>18.39028462</v>
      </c>
      <c r="K461" s="3">
        <f t="shared" si="7"/>
        <v>160.4170875</v>
      </c>
      <c r="L461" s="3">
        <f t="shared" si="8"/>
        <v>0.008767130974</v>
      </c>
      <c r="M461" s="3">
        <f t="shared" si="9"/>
        <v>0.03251992439</v>
      </c>
      <c r="N461" s="3">
        <f t="shared" si="10"/>
        <v>0.1803328156</v>
      </c>
    </row>
    <row r="462" ht="14.25" customHeight="1">
      <c r="A462" s="3">
        <v>45.9</v>
      </c>
      <c r="B462" s="3">
        <v>412.4</v>
      </c>
      <c r="C462" s="3">
        <v>10.92</v>
      </c>
      <c r="E462" s="3">
        <f t="shared" si="1"/>
        <v>2106.81</v>
      </c>
      <c r="F462" s="3">
        <f t="shared" si="2"/>
        <v>18929.16</v>
      </c>
      <c r="G462" s="3">
        <f t="shared" si="3"/>
        <v>398.445102</v>
      </c>
      <c r="H462" s="3">
        <f t="shared" si="4"/>
        <v>0.3849172805</v>
      </c>
      <c r="I462" s="3">
        <f t="shared" si="5"/>
        <v>3.458385327</v>
      </c>
      <c r="J462" s="3">
        <f t="shared" si="6"/>
        <v>17.66770318</v>
      </c>
      <c r="K462" s="3">
        <f t="shared" si="7"/>
        <v>158.7398865</v>
      </c>
      <c r="L462" s="3">
        <f t="shared" si="8"/>
        <v>0.008385997397</v>
      </c>
      <c r="M462" s="3">
        <f t="shared" si="9"/>
        <v>1.63308224</v>
      </c>
      <c r="N462" s="3">
        <f t="shared" si="10"/>
        <v>1.277921062</v>
      </c>
    </row>
    <row r="463" ht="14.25" customHeight="1">
      <c r="A463" s="3">
        <v>46.0</v>
      </c>
      <c r="B463" s="3">
        <v>379.93</v>
      </c>
      <c r="C463" s="3">
        <v>10.08</v>
      </c>
      <c r="E463" s="3">
        <f t="shared" si="1"/>
        <v>2116</v>
      </c>
      <c r="F463" s="3">
        <f t="shared" si="2"/>
        <v>17476.78</v>
      </c>
      <c r="G463" s="3">
        <f t="shared" si="3"/>
        <v>399.3061585</v>
      </c>
      <c r="H463" s="3">
        <f t="shared" si="4"/>
        <v>0.4527273873</v>
      </c>
      <c r="I463" s="3">
        <f t="shared" si="5"/>
        <v>3.739232962</v>
      </c>
      <c r="J463" s="3">
        <f t="shared" si="6"/>
        <v>20.82545981</v>
      </c>
      <c r="K463" s="3">
        <f t="shared" si="7"/>
        <v>172.0047162</v>
      </c>
      <c r="L463" s="3">
        <f t="shared" si="8"/>
        <v>0.009841899723</v>
      </c>
      <c r="M463" s="3">
        <f t="shared" si="9"/>
        <v>3.694998717</v>
      </c>
      <c r="N463" s="3">
        <f t="shared" si="10"/>
        <v>-1.922237945</v>
      </c>
    </row>
    <row r="464" ht="14.25" customHeight="1">
      <c r="A464" s="3">
        <v>46.1</v>
      </c>
      <c r="B464" s="3">
        <v>402.07</v>
      </c>
      <c r="C464" s="3">
        <v>10.14</v>
      </c>
      <c r="E464" s="3">
        <f t="shared" si="1"/>
        <v>2125.21</v>
      </c>
      <c r="F464" s="3">
        <f t="shared" si="2"/>
        <v>18535.427</v>
      </c>
      <c r="G464" s="3">
        <f t="shared" si="3"/>
        <v>400.167215</v>
      </c>
      <c r="H464" s="3">
        <f t="shared" si="4"/>
        <v>0.4483580951</v>
      </c>
      <c r="I464" s="3">
        <f t="shared" si="5"/>
        <v>3.9104412</v>
      </c>
      <c r="J464" s="3">
        <f t="shared" si="6"/>
        <v>20.66930819</v>
      </c>
      <c r="K464" s="3">
        <f t="shared" si="7"/>
        <v>180.2713393</v>
      </c>
      <c r="L464" s="3">
        <f t="shared" si="8"/>
        <v>0.009725772129</v>
      </c>
      <c r="M464" s="3">
        <f t="shared" si="9"/>
        <v>0.03521304205</v>
      </c>
      <c r="N464" s="3">
        <f t="shared" si="10"/>
        <v>0.1876513843</v>
      </c>
    </row>
    <row r="465" ht="14.25" customHeight="1">
      <c r="A465" s="3">
        <v>46.2</v>
      </c>
      <c r="B465" s="3">
        <v>403.91</v>
      </c>
      <c r="C465" s="3">
        <v>4.01</v>
      </c>
      <c r="E465" s="3">
        <f t="shared" si="1"/>
        <v>2134.44</v>
      </c>
      <c r="F465" s="3">
        <f t="shared" si="2"/>
        <v>18660.642</v>
      </c>
      <c r="G465" s="3">
        <f t="shared" si="3"/>
        <v>401.0282714</v>
      </c>
      <c r="H465" s="3">
        <f t="shared" si="4"/>
        <v>2.873116461</v>
      </c>
      <c r="I465" s="3">
        <f t="shared" si="5"/>
        <v>25.11862488</v>
      </c>
      <c r="J465" s="3">
        <f t="shared" si="6"/>
        <v>132.7379805</v>
      </c>
      <c r="K465" s="3">
        <f t="shared" si="7"/>
        <v>1160.48047</v>
      </c>
      <c r="L465" s="3">
        <f t="shared" si="8"/>
        <v>0.06218866798</v>
      </c>
      <c r="M465" s="3">
        <f t="shared" si="9"/>
        <v>0.5164370551</v>
      </c>
      <c r="N465" s="3">
        <f t="shared" si="10"/>
        <v>0.718635551</v>
      </c>
    </row>
    <row r="466" ht="14.25" customHeight="1">
      <c r="A466" s="3">
        <v>46.3</v>
      </c>
      <c r="B466" s="3">
        <v>396.43</v>
      </c>
      <c r="C466" s="3">
        <v>6.79</v>
      </c>
      <c r="E466" s="3">
        <f t="shared" si="1"/>
        <v>2143.69</v>
      </c>
      <c r="F466" s="3">
        <f t="shared" si="2"/>
        <v>18354.709</v>
      </c>
      <c r="G466" s="3">
        <f t="shared" si="3"/>
        <v>401.8893279</v>
      </c>
      <c r="H466" s="3">
        <f t="shared" si="4"/>
        <v>1.00424908</v>
      </c>
      <c r="I466" s="3">
        <f t="shared" si="5"/>
        <v>8.598584508</v>
      </c>
      <c r="J466" s="3">
        <f t="shared" si="6"/>
        <v>46.49673239</v>
      </c>
      <c r="K466" s="3">
        <f t="shared" si="7"/>
        <v>398.1144627</v>
      </c>
      <c r="L466" s="3">
        <f t="shared" si="8"/>
        <v>0.02169004492</v>
      </c>
      <c r="M466" s="3">
        <f t="shared" si="9"/>
        <v>0.6464557669</v>
      </c>
      <c r="N466" s="3">
        <f t="shared" si="10"/>
        <v>-0.8040247303</v>
      </c>
    </row>
    <row r="467" ht="14.25" customHeight="1">
      <c r="A467" s="3">
        <v>46.4</v>
      </c>
      <c r="B467" s="3">
        <v>406.92</v>
      </c>
      <c r="C467" s="3">
        <v>5.39</v>
      </c>
      <c r="E467" s="3">
        <f t="shared" si="1"/>
        <v>2152.96</v>
      </c>
      <c r="F467" s="3">
        <f t="shared" si="2"/>
        <v>18881.088</v>
      </c>
      <c r="G467" s="3">
        <f t="shared" si="3"/>
        <v>402.7503844</v>
      </c>
      <c r="H467" s="3">
        <f t="shared" si="4"/>
        <v>1.597130672</v>
      </c>
      <c r="I467" s="3">
        <f t="shared" si="5"/>
        <v>14.00656063</v>
      </c>
      <c r="J467" s="3">
        <f t="shared" si="6"/>
        <v>74.10686319</v>
      </c>
      <c r="K467" s="3">
        <f t="shared" si="7"/>
        <v>649.9044131</v>
      </c>
      <c r="L467" s="3">
        <f t="shared" si="8"/>
        <v>0.03442091966</v>
      </c>
      <c r="M467" s="3">
        <f t="shared" si="9"/>
        <v>0.5984315861</v>
      </c>
      <c r="N467" s="3">
        <f t="shared" si="10"/>
        <v>0.7735835999</v>
      </c>
    </row>
    <row r="468" ht="14.25" customHeight="1">
      <c r="A468" s="3">
        <v>46.5</v>
      </c>
      <c r="B468" s="3">
        <v>408.19</v>
      </c>
      <c r="C468" s="3">
        <v>8.05</v>
      </c>
      <c r="E468" s="3">
        <f t="shared" si="1"/>
        <v>2162.25</v>
      </c>
      <c r="F468" s="3">
        <f t="shared" si="2"/>
        <v>18980.835</v>
      </c>
      <c r="G468" s="3">
        <f t="shared" si="3"/>
        <v>403.6114409</v>
      </c>
      <c r="H468" s="3">
        <f t="shared" si="4"/>
        <v>0.7175649088</v>
      </c>
      <c r="I468" s="3">
        <f t="shared" si="5"/>
        <v>6.298985379</v>
      </c>
      <c r="J468" s="3">
        <f t="shared" si="6"/>
        <v>33.36676826</v>
      </c>
      <c r="K468" s="3">
        <f t="shared" si="7"/>
        <v>292.9028201</v>
      </c>
      <c r="L468" s="3">
        <f t="shared" si="8"/>
        <v>0.01543150341</v>
      </c>
      <c r="M468" s="3">
        <f t="shared" si="9"/>
        <v>0.323493749</v>
      </c>
      <c r="N468" s="3">
        <f t="shared" si="10"/>
        <v>0.5687651088</v>
      </c>
    </row>
    <row r="469" ht="14.25" customHeight="1">
      <c r="A469" s="3">
        <v>46.6</v>
      </c>
      <c r="B469" s="3">
        <v>414.49</v>
      </c>
      <c r="C469" s="3">
        <v>10.47</v>
      </c>
      <c r="E469" s="3">
        <f t="shared" si="1"/>
        <v>2171.56</v>
      </c>
      <c r="F469" s="3">
        <f t="shared" si="2"/>
        <v>19315.234</v>
      </c>
      <c r="G469" s="3">
        <f t="shared" si="3"/>
        <v>404.4724974</v>
      </c>
      <c r="H469" s="3">
        <f t="shared" si="4"/>
        <v>0.4251014177</v>
      </c>
      <c r="I469" s="3">
        <f t="shared" si="5"/>
        <v>3.781122031</v>
      </c>
      <c r="J469" s="3">
        <f t="shared" si="6"/>
        <v>19.80972607</v>
      </c>
      <c r="K469" s="3">
        <f t="shared" si="7"/>
        <v>176.2002866</v>
      </c>
      <c r="L469" s="3">
        <f t="shared" si="8"/>
        <v>0.009122348019</v>
      </c>
      <c r="M469" s="3">
        <f t="shared" si="9"/>
        <v>0.9154309014</v>
      </c>
      <c r="N469" s="3">
        <f t="shared" si="10"/>
        <v>0.9567815328</v>
      </c>
    </row>
    <row r="470" ht="14.25" customHeight="1">
      <c r="A470" s="3">
        <v>46.7</v>
      </c>
      <c r="B470" s="3">
        <v>397.38</v>
      </c>
      <c r="C470" s="3">
        <v>10.41</v>
      </c>
      <c r="E470" s="3">
        <f t="shared" si="1"/>
        <v>2180.89</v>
      </c>
      <c r="F470" s="3">
        <f t="shared" si="2"/>
        <v>18557.646</v>
      </c>
      <c r="G470" s="3">
        <f t="shared" si="3"/>
        <v>405.3335538</v>
      </c>
      <c r="H470" s="3">
        <f t="shared" si="4"/>
        <v>0.4309386249</v>
      </c>
      <c r="I470" s="3">
        <f t="shared" si="5"/>
        <v>3.666946269</v>
      </c>
      <c r="J470" s="3">
        <f t="shared" si="6"/>
        <v>20.12483378</v>
      </c>
      <c r="K470" s="3">
        <f t="shared" si="7"/>
        <v>171.2463908</v>
      </c>
      <c r="L470" s="3">
        <f t="shared" si="8"/>
        <v>0.009227807814</v>
      </c>
      <c r="M470" s="3">
        <f t="shared" si="9"/>
        <v>0.5837420655</v>
      </c>
      <c r="N470" s="3">
        <f t="shared" si="10"/>
        <v>-0.764030147</v>
      </c>
    </row>
    <row r="471" ht="14.25" customHeight="1">
      <c r="A471" s="3">
        <v>46.8</v>
      </c>
      <c r="B471" s="3">
        <v>401.92</v>
      </c>
      <c r="C471" s="3">
        <v>10.21</v>
      </c>
      <c r="E471" s="3">
        <f t="shared" si="1"/>
        <v>2190.24</v>
      </c>
      <c r="F471" s="3">
        <f t="shared" si="2"/>
        <v>18809.856</v>
      </c>
      <c r="G471" s="3">
        <f t="shared" si="3"/>
        <v>406.1946103</v>
      </c>
      <c r="H471" s="3">
        <f t="shared" si="4"/>
        <v>0.4489462713</v>
      </c>
      <c r="I471" s="3">
        <f t="shared" si="5"/>
        <v>3.855565927</v>
      </c>
      <c r="J471" s="3">
        <f t="shared" si="6"/>
        <v>21.0106855</v>
      </c>
      <c r="K471" s="3">
        <f t="shared" si="7"/>
        <v>180.4404854</v>
      </c>
      <c r="L471" s="3">
        <f t="shared" si="8"/>
        <v>0.009592869045</v>
      </c>
      <c r="M471" s="3">
        <f t="shared" si="9"/>
        <v>0.1752837166</v>
      </c>
      <c r="N471" s="3">
        <f t="shared" si="10"/>
        <v>-0.4186689822</v>
      </c>
    </row>
    <row r="472" ht="14.25" customHeight="1">
      <c r="A472" s="3">
        <v>46.9</v>
      </c>
      <c r="B472" s="3">
        <v>418.93</v>
      </c>
      <c r="C472" s="3">
        <v>10.47</v>
      </c>
      <c r="E472" s="3">
        <f t="shared" si="1"/>
        <v>2199.61</v>
      </c>
      <c r="F472" s="3">
        <f t="shared" si="2"/>
        <v>19647.817</v>
      </c>
      <c r="G472" s="3">
        <f t="shared" si="3"/>
        <v>407.0556668</v>
      </c>
      <c r="H472" s="3">
        <f t="shared" si="4"/>
        <v>0.4278381221</v>
      </c>
      <c r="I472" s="3">
        <f t="shared" si="5"/>
        <v>3.821625256</v>
      </c>
      <c r="J472" s="3">
        <f t="shared" si="6"/>
        <v>20.06560793</v>
      </c>
      <c r="K472" s="3">
        <f t="shared" si="7"/>
        <v>179.2342245</v>
      </c>
      <c r="L472" s="3">
        <f t="shared" si="8"/>
        <v>0.009122348019</v>
      </c>
      <c r="M472" s="3">
        <f t="shared" si="9"/>
        <v>1.286249149</v>
      </c>
      <c r="N472" s="3">
        <f t="shared" si="10"/>
        <v>1.134129247</v>
      </c>
    </row>
    <row r="473" ht="14.25" customHeight="1">
      <c r="A473" s="3">
        <v>47.0</v>
      </c>
      <c r="B473" s="3">
        <v>409.96</v>
      </c>
      <c r="C473" s="3">
        <v>5.7</v>
      </c>
      <c r="E473" s="3">
        <f t="shared" si="1"/>
        <v>2209</v>
      </c>
      <c r="F473" s="3">
        <f t="shared" si="2"/>
        <v>19268.12</v>
      </c>
      <c r="G473" s="3">
        <f t="shared" si="3"/>
        <v>407.9167233</v>
      </c>
      <c r="H473" s="3">
        <f t="shared" si="4"/>
        <v>1.446598954</v>
      </c>
      <c r="I473" s="3">
        <f t="shared" si="5"/>
        <v>12.61803632</v>
      </c>
      <c r="J473" s="3">
        <f t="shared" si="6"/>
        <v>67.99015082</v>
      </c>
      <c r="K473" s="3">
        <f t="shared" si="7"/>
        <v>593.047707</v>
      </c>
      <c r="L473" s="3">
        <f t="shared" si="8"/>
        <v>0.03077870114</v>
      </c>
      <c r="M473" s="3">
        <f t="shared" si="9"/>
        <v>0.1285004562</v>
      </c>
      <c r="N473" s="3">
        <f t="shared" si="10"/>
        <v>0.3584696029</v>
      </c>
    </row>
    <row r="474" ht="14.25" customHeight="1">
      <c r="A474" s="3">
        <v>47.1</v>
      </c>
      <c r="B474" s="3">
        <v>413.28</v>
      </c>
      <c r="C474" s="3">
        <v>4.22</v>
      </c>
      <c r="E474" s="3">
        <f t="shared" si="1"/>
        <v>2218.41</v>
      </c>
      <c r="F474" s="3">
        <f t="shared" si="2"/>
        <v>19465.488</v>
      </c>
      <c r="G474" s="3">
        <f t="shared" si="3"/>
        <v>408.7777797</v>
      </c>
      <c r="H474" s="3">
        <f t="shared" si="4"/>
        <v>2.644819299</v>
      </c>
      <c r="I474" s="3">
        <f t="shared" si="5"/>
        <v>23.2070259</v>
      </c>
      <c r="J474" s="3">
        <f t="shared" si="6"/>
        <v>124.570989</v>
      </c>
      <c r="K474" s="3">
        <f t="shared" si="7"/>
        <v>1093.05092</v>
      </c>
      <c r="L474" s="3">
        <f t="shared" si="8"/>
        <v>0.05615327598</v>
      </c>
      <c r="M474" s="3">
        <f t="shared" si="9"/>
        <v>1.138226189</v>
      </c>
      <c r="N474" s="3">
        <f t="shared" si="10"/>
        <v>1.066876839</v>
      </c>
    </row>
    <row r="475" ht="14.25" customHeight="1">
      <c r="A475" s="3">
        <v>47.2</v>
      </c>
      <c r="B475" s="3">
        <v>406.93</v>
      </c>
      <c r="C475" s="3">
        <v>4.66</v>
      </c>
      <c r="E475" s="3">
        <f t="shared" si="1"/>
        <v>2227.84</v>
      </c>
      <c r="F475" s="3">
        <f t="shared" si="2"/>
        <v>19207.096</v>
      </c>
      <c r="G475" s="3">
        <f t="shared" si="3"/>
        <v>409.6388362</v>
      </c>
      <c r="H475" s="3">
        <f t="shared" si="4"/>
        <v>2.173552653</v>
      </c>
      <c r="I475" s="3">
        <f t="shared" si="5"/>
        <v>18.73906316</v>
      </c>
      <c r="J475" s="3">
        <f t="shared" si="6"/>
        <v>102.5916852</v>
      </c>
      <c r="K475" s="3">
        <f t="shared" si="7"/>
        <v>884.4837812</v>
      </c>
      <c r="L475" s="3">
        <f t="shared" si="8"/>
        <v>0.04604984435</v>
      </c>
      <c r="M475" s="3">
        <f t="shared" si="9"/>
        <v>0.337904256</v>
      </c>
      <c r="N475" s="3">
        <f t="shared" si="10"/>
        <v>-0.581295326</v>
      </c>
    </row>
    <row r="476" ht="14.25" customHeight="1">
      <c r="A476" s="3">
        <v>47.3</v>
      </c>
      <c r="B476" s="3">
        <v>420.83</v>
      </c>
      <c r="C476" s="3">
        <v>9.25</v>
      </c>
      <c r="E476" s="3">
        <f t="shared" si="1"/>
        <v>2237.29</v>
      </c>
      <c r="F476" s="3">
        <f t="shared" si="2"/>
        <v>19905.259</v>
      </c>
      <c r="G476" s="3">
        <f t="shared" si="3"/>
        <v>410.4998927</v>
      </c>
      <c r="H476" s="3">
        <f t="shared" si="4"/>
        <v>0.5528122717</v>
      </c>
      <c r="I476" s="3">
        <f t="shared" si="5"/>
        <v>4.918392988</v>
      </c>
      <c r="J476" s="3">
        <f t="shared" si="6"/>
        <v>26.14802045</v>
      </c>
      <c r="K476" s="3">
        <f t="shared" si="7"/>
        <v>232.6399883</v>
      </c>
      <c r="L476" s="3">
        <f t="shared" si="8"/>
        <v>0.01168736304</v>
      </c>
      <c r="M476" s="3">
        <f t="shared" si="9"/>
        <v>1.247171563</v>
      </c>
      <c r="N476" s="3">
        <f t="shared" si="10"/>
        <v>1.116768357</v>
      </c>
    </row>
    <row r="477" ht="14.25" customHeight="1">
      <c r="A477" s="3">
        <v>47.4</v>
      </c>
      <c r="B477" s="3">
        <v>417.28</v>
      </c>
      <c r="C477" s="3">
        <v>4.37</v>
      </c>
      <c r="E477" s="3">
        <f t="shared" si="1"/>
        <v>2246.76</v>
      </c>
      <c r="F477" s="3">
        <f t="shared" si="2"/>
        <v>19779.072</v>
      </c>
      <c r="G477" s="3">
        <f t="shared" si="3"/>
        <v>411.3609492</v>
      </c>
      <c r="H477" s="3">
        <f t="shared" si="4"/>
        <v>2.482078243</v>
      </c>
      <c r="I477" s="3">
        <f t="shared" si="5"/>
        <v>21.85066686</v>
      </c>
      <c r="J477" s="3">
        <f t="shared" si="6"/>
        <v>117.6505087</v>
      </c>
      <c r="K477" s="3">
        <f t="shared" si="7"/>
        <v>1035.721609</v>
      </c>
      <c r="L477" s="3">
        <f t="shared" si="8"/>
        <v>0.0523645199</v>
      </c>
      <c r="M477" s="3">
        <f t="shared" si="9"/>
        <v>1.834599473</v>
      </c>
      <c r="N477" s="3">
        <f t="shared" si="10"/>
        <v>1.354473873</v>
      </c>
    </row>
    <row r="478" ht="14.25" customHeight="1">
      <c r="A478" s="3">
        <v>47.5</v>
      </c>
      <c r="B478" s="3">
        <v>413.94</v>
      </c>
      <c r="C478" s="3">
        <v>8.88</v>
      </c>
      <c r="E478" s="3">
        <f t="shared" si="1"/>
        <v>2256.25</v>
      </c>
      <c r="F478" s="3">
        <f t="shared" si="2"/>
        <v>19662.15</v>
      </c>
      <c r="G478" s="3">
        <f t="shared" si="3"/>
        <v>412.2220057</v>
      </c>
      <c r="H478" s="3">
        <f t="shared" si="4"/>
        <v>0.6023760247</v>
      </c>
      <c r="I478" s="3">
        <f t="shared" si="5"/>
        <v>5.249421719</v>
      </c>
      <c r="J478" s="3">
        <f t="shared" si="6"/>
        <v>28.61286117</v>
      </c>
      <c r="K478" s="3">
        <f t="shared" si="7"/>
        <v>249.3475317</v>
      </c>
      <c r="L478" s="3">
        <f t="shared" si="8"/>
        <v>0.01268160052</v>
      </c>
      <c r="M478" s="3">
        <f t="shared" si="9"/>
        <v>0.03742980198</v>
      </c>
      <c r="N478" s="3">
        <f t="shared" si="10"/>
        <v>0.1934678319</v>
      </c>
    </row>
    <row r="479" ht="14.25" customHeight="1">
      <c r="A479" s="3">
        <v>47.6</v>
      </c>
      <c r="B479" s="3">
        <v>411.51</v>
      </c>
      <c r="C479" s="3">
        <v>7.04</v>
      </c>
      <c r="E479" s="3">
        <f t="shared" si="1"/>
        <v>2265.76</v>
      </c>
      <c r="F479" s="3">
        <f t="shared" si="2"/>
        <v>19587.876</v>
      </c>
      <c r="G479" s="3">
        <f t="shared" si="3"/>
        <v>413.0830621</v>
      </c>
      <c r="H479" s="3">
        <f t="shared" si="4"/>
        <v>0.9604209711</v>
      </c>
      <c r="I479" s="3">
        <f t="shared" si="5"/>
        <v>8.30300071</v>
      </c>
      <c r="J479" s="3">
        <f t="shared" si="6"/>
        <v>45.71603822</v>
      </c>
      <c r="K479" s="3">
        <f t="shared" si="7"/>
        <v>395.2228338</v>
      </c>
      <c r="L479" s="3">
        <f t="shared" si="8"/>
        <v>0.02017691116</v>
      </c>
      <c r="M479" s="3">
        <f t="shared" si="9"/>
        <v>0.04992826032</v>
      </c>
      <c r="N479" s="3">
        <f t="shared" si="10"/>
        <v>-0.2234463254</v>
      </c>
    </row>
    <row r="480" ht="14.25" customHeight="1">
      <c r="A480" s="3">
        <v>47.7</v>
      </c>
      <c r="B480" s="3">
        <v>424.83</v>
      </c>
      <c r="C480" s="3">
        <v>10.02</v>
      </c>
      <c r="E480" s="3">
        <f t="shared" si="1"/>
        <v>2275.29</v>
      </c>
      <c r="F480" s="3">
        <f t="shared" si="2"/>
        <v>20264.391</v>
      </c>
      <c r="G480" s="3">
        <f t="shared" si="3"/>
        <v>413.9441186</v>
      </c>
      <c r="H480" s="3">
        <f t="shared" si="4"/>
        <v>0.4750977088</v>
      </c>
      <c r="I480" s="3">
        <f t="shared" si="5"/>
        <v>4.231357644</v>
      </c>
      <c r="J480" s="3">
        <f t="shared" si="6"/>
        <v>22.66216071</v>
      </c>
      <c r="K480" s="3">
        <f t="shared" si="7"/>
        <v>201.8357596</v>
      </c>
      <c r="L480" s="3">
        <f t="shared" si="8"/>
        <v>0.009960119681</v>
      </c>
      <c r="M480" s="3">
        <f t="shared" si="9"/>
        <v>1.180298223</v>
      </c>
      <c r="N480" s="3">
        <f t="shared" si="10"/>
        <v>1.086415309</v>
      </c>
    </row>
    <row r="481" ht="14.25" customHeight="1">
      <c r="A481" s="3">
        <v>47.8</v>
      </c>
      <c r="B481" s="3">
        <v>413.78</v>
      </c>
      <c r="C481" s="3">
        <v>12.15</v>
      </c>
      <c r="E481" s="3">
        <f t="shared" si="1"/>
        <v>2284.84</v>
      </c>
      <c r="F481" s="3">
        <f t="shared" si="2"/>
        <v>19778.684</v>
      </c>
      <c r="G481" s="3">
        <f t="shared" si="3"/>
        <v>414.8051751</v>
      </c>
      <c r="H481" s="3">
        <f t="shared" si="4"/>
        <v>0.3237988789</v>
      </c>
      <c r="I481" s="3">
        <f t="shared" si="5"/>
        <v>2.802960253</v>
      </c>
      <c r="J481" s="3">
        <f t="shared" si="6"/>
        <v>15.47758641</v>
      </c>
      <c r="K481" s="3">
        <f t="shared" si="7"/>
        <v>133.9815001</v>
      </c>
      <c r="L481" s="3">
        <f t="shared" si="8"/>
        <v>0.006774035123</v>
      </c>
      <c r="M481" s="3">
        <f t="shared" si="9"/>
        <v>0.007119402244</v>
      </c>
      <c r="N481" s="3">
        <f t="shared" si="10"/>
        <v>-0.08437655032</v>
      </c>
    </row>
    <row r="482" ht="14.25" customHeight="1">
      <c r="A482" s="3">
        <v>47.9</v>
      </c>
      <c r="B482" s="3">
        <v>428.59</v>
      </c>
      <c r="C482" s="3">
        <v>4.76</v>
      </c>
      <c r="E482" s="3">
        <f t="shared" si="1"/>
        <v>2294.41</v>
      </c>
      <c r="F482" s="3">
        <f t="shared" si="2"/>
        <v>20529.461</v>
      </c>
      <c r="G482" s="3">
        <f t="shared" si="3"/>
        <v>415.6662316</v>
      </c>
      <c r="H482" s="3">
        <f t="shared" si="4"/>
        <v>2.114080926</v>
      </c>
      <c r="I482" s="3">
        <f t="shared" si="5"/>
        <v>18.91594873</v>
      </c>
      <c r="J482" s="3">
        <f t="shared" si="6"/>
        <v>101.2644764</v>
      </c>
      <c r="K482" s="3">
        <f t="shared" si="7"/>
        <v>906.0739443</v>
      </c>
      <c r="L482" s="3">
        <f t="shared" si="8"/>
        <v>0.04413530118</v>
      </c>
      <c r="M482" s="3">
        <f t="shared" si="9"/>
        <v>7.371645301</v>
      </c>
      <c r="N482" s="3">
        <f t="shared" si="10"/>
        <v>2.715077402</v>
      </c>
    </row>
    <row r="483" ht="14.25" customHeight="1">
      <c r="A483" s="3">
        <v>48.0</v>
      </c>
      <c r="B483" s="3">
        <v>417.05</v>
      </c>
      <c r="C483" s="3">
        <v>4.79</v>
      </c>
      <c r="E483" s="3">
        <f t="shared" si="1"/>
        <v>2304</v>
      </c>
      <c r="F483" s="3">
        <f t="shared" si="2"/>
        <v>20018.4</v>
      </c>
      <c r="G483" s="3">
        <f t="shared" si="3"/>
        <v>416.527288</v>
      </c>
      <c r="H483" s="3">
        <f t="shared" si="4"/>
        <v>2.092041091</v>
      </c>
      <c r="I483" s="3">
        <f t="shared" si="5"/>
        <v>18.17678619</v>
      </c>
      <c r="J483" s="3">
        <f t="shared" si="6"/>
        <v>100.4179724</v>
      </c>
      <c r="K483" s="3">
        <f t="shared" si="7"/>
        <v>872.4857371</v>
      </c>
      <c r="L483" s="3">
        <f t="shared" si="8"/>
        <v>0.0435841894</v>
      </c>
      <c r="M483" s="3">
        <f t="shared" si="9"/>
        <v>0.01190841179</v>
      </c>
      <c r="N483" s="3">
        <f t="shared" si="10"/>
        <v>0.1091256697</v>
      </c>
    </row>
    <row r="484" ht="14.25" customHeight="1">
      <c r="A484" s="3">
        <v>48.1</v>
      </c>
      <c r="B484" s="3">
        <v>412.79</v>
      </c>
      <c r="C484" s="3">
        <v>11.78</v>
      </c>
      <c r="E484" s="3">
        <f t="shared" si="1"/>
        <v>2313.61</v>
      </c>
      <c r="F484" s="3">
        <f t="shared" si="2"/>
        <v>19855.199</v>
      </c>
      <c r="G484" s="3">
        <f t="shared" si="3"/>
        <v>417.3883445</v>
      </c>
      <c r="H484" s="3">
        <f t="shared" si="4"/>
        <v>0.3466207004</v>
      </c>
      <c r="I484" s="3">
        <f t="shared" si="5"/>
        <v>2.974668584</v>
      </c>
      <c r="J484" s="3">
        <f t="shared" si="6"/>
        <v>16.67245569</v>
      </c>
      <c r="K484" s="3">
        <f t="shared" si="7"/>
        <v>143.0815589</v>
      </c>
      <c r="L484" s="3">
        <f t="shared" si="8"/>
        <v>0.007206251567</v>
      </c>
      <c r="M484" s="3">
        <f t="shared" si="9"/>
        <v>0.1523745487</v>
      </c>
      <c r="N484" s="3">
        <f t="shared" si="10"/>
        <v>-0.3903518268</v>
      </c>
    </row>
    <row r="485" ht="14.25" customHeight="1">
      <c r="A485" s="3">
        <v>48.2</v>
      </c>
      <c r="B485" s="3">
        <v>422.35</v>
      </c>
      <c r="C485" s="3">
        <v>9.17</v>
      </c>
      <c r="E485" s="3">
        <f t="shared" si="1"/>
        <v>2323.24</v>
      </c>
      <c r="F485" s="3">
        <f t="shared" si="2"/>
        <v>20357.27</v>
      </c>
      <c r="G485" s="3">
        <f t="shared" si="3"/>
        <v>418.249401</v>
      </c>
      <c r="H485" s="3">
        <f t="shared" si="4"/>
        <v>0.5732028841</v>
      </c>
      <c r="I485" s="3">
        <f t="shared" si="5"/>
        <v>5.022660541</v>
      </c>
      <c r="J485" s="3">
        <f t="shared" si="6"/>
        <v>27.62837901</v>
      </c>
      <c r="K485" s="3">
        <f t="shared" si="7"/>
        <v>242.0922381</v>
      </c>
      <c r="L485" s="3">
        <f t="shared" si="8"/>
        <v>0.01189217602</v>
      </c>
      <c r="M485" s="3">
        <f t="shared" si="9"/>
        <v>0.1999658953</v>
      </c>
      <c r="N485" s="3">
        <f t="shared" si="10"/>
        <v>0.4471754637</v>
      </c>
    </row>
    <row r="486" ht="14.25" customHeight="1">
      <c r="A486" s="3">
        <v>48.3</v>
      </c>
      <c r="B486" s="3">
        <v>433.65</v>
      </c>
      <c r="C486" s="3">
        <v>9.87</v>
      </c>
      <c r="E486" s="3">
        <f t="shared" si="1"/>
        <v>2332.89</v>
      </c>
      <c r="F486" s="3">
        <f t="shared" si="2"/>
        <v>20945.295</v>
      </c>
      <c r="G486" s="3">
        <f t="shared" si="3"/>
        <v>419.1104575</v>
      </c>
      <c r="H486" s="3">
        <f t="shared" si="4"/>
        <v>0.4958071957</v>
      </c>
      <c r="I486" s="3">
        <f t="shared" si="5"/>
        <v>4.451486344</v>
      </c>
      <c r="J486" s="3">
        <f t="shared" si="6"/>
        <v>23.94748755</v>
      </c>
      <c r="K486" s="3">
        <f t="shared" si="7"/>
        <v>215.0067904</v>
      </c>
      <c r="L486" s="3">
        <f t="shared" si="8"/>
        <v>0.01026515933</v>
      </c>
      <c r="M486" s="3">
        <f t="shared" si="9"/>
        <v>2.170037199</v>
      </c>
      <c r="N486" s="3">
        <f t="shared" si="10"/>
        <v>1.473104612</v>
      </c>
    </row>
    <row r="487" ht="14.25" customHeight="1">
      <c r="A487" s="3">
        <v>48.4</v>
      </c>
      <c r="B487" s="3">
        <v>411.19</v>
      </c>
      <c r="C487" s="3">
        <v>5.7</v>
      </c>
      <c r="E487" s="3">
        <f t="shared" si="1"/>
        <v>2342.56</v>
      </c>
      <c r="F487" s="3">
        <f t="shared" si="2"/>
        <v>19901.596</v>
      </c>
      <c r="G487" s="3">
        <f t="shared" si="3"/>
        <v>419.971514</v>
      </c>
      <c r="H487" s="3">
        <f t="shared" si="4"/>
        <v>1.489689135</v>
      </c>
      <c r="I487" s="3">
        <f t="shared" si="5"/>
        <v>12.65589412</v>
      </c>
      <c r="J487" s="3">
        <f t="shared" si="6"/>
        <v>72.10095414</v>
      </c>
      <c r="K487" s="3">
        <f t="shared" si="7"/>
        <v>612.5452755</v>
      </c>
      <c r="L487" s="3">
        <f t="shared" si="8"/>
        <v>0.03077870114</v>
      </c>
      <c r="M487" s="3">
        <f t="shared" si="9"/>
        <v>2.373499148</v>
      </c>
      <c r="N487" s="3">
        <f t="shared" si="10"/>
        <v>-1.540616483</v>
      </c>
    </row>
    <row r="488" ht="14.25" customHeight="1">
      <c r="A488" s="3">
        <v>48.5</v>
      </c>
      <c r="B488" s="3">
        <v>426.1</v>
      </c>
      <c r="C488" s="3">
        <v>8.81</v>
      </c>
      <c r="E488" s="3">
        <f t="shared" si="1"/>
        <v>2352.25</v>
      </c>
      <c r="F488" s="3">
        <f t="shared" si="2"/>
        <v>20665.85</v>
      </c>
      <c r="G488" s="3">
        <f t="shared" si="3"/>
        <v>420.8325704</v>
      </c>
      <c r="H488" s="3">
        <f t="shared" si="4"/>
        <v>0.6248703555</v>
      </c>
      <c r="I488" s="3">
        <f t="shared" si="5"/>
        <v>5.489840381</v>
      </c>
      <c r="J488" s="3">
        <f t="shared" si="6"/>
        <v>30.30621224</v>
      </c>
      <c r="K488" s="3">
        <f t="shared" si="7"/>
        <v>266.2572585</v>
      </c>
      <c r="L488" s="3">
        <f t="shared" si="8"/>
        <v>0.01288392486</v>
      </c>
      <c r="M488" s="3">
        <f t="shared" si="9"/>
        <v>0.357474986</v>
      </c>
      <c r="N488" s="3">
        <f t="shared" si="10"/>
        <v>0.597892119</v>
      </c>
    </row>
    <row r="489" ht="14.25" customHeight="1">
      <c r="A489" s="3">
        <v>48.6</v>
      </c>
      <c r="B489" s="3">
        <v>409.85</v>
      </c>
      <c r="C489" s="3">
        <v>11.0</v>
      </c>
      <c r="E489" s="3">
        <f t="shared" si="1"/>
        <v>2361.96</v>
      </c>
      <c r="F489" s="3">
        <f t="shared" si="2"/>
        <v>19918.71</v>
      </c>
      <c r="G489" s="3">
        <f t="shared" si="3"/>
        <v>421.6936269</v>
      </c>
      <c r="H489" s="3">
        <f t="shared" si="4"/>
        <v>0.4016528926</v>
      </c>
      <c r="I489" s="3">
        <f t="shared" si="5"/>
        <v>3.387190083</v>
      </c>
      <c r="J489" s="3">
        <f t="shared" si="6"/>
        <v>19.52033058</v>
      </c>
      <c r="K489" s="3">
        <f t="shared" si="7"/>
        <v>164.617438</v>
      </c>
      <c r="L489" s="3">
        <f t="shared" si="8"/>
        <v>0.00826446281</v>
      </c>
      <c r="M489" s="3">
        <f t="shared" si="9"/>
        <v>1.159268582</v>
      </c>
      <c r="N489" s="3">
        <f t="shared" si="10"/>
        <v>-1.076693355</v>
      </c>
    </row>
    <row r="490" ht="14.25" customHeight="1">
      <c r="A490" s="3">
        <v>48.7</v>
      </c>
      <c r="B490" s="3">
        <v>416.25</v>
      </c>
      <c r="C490" s="3">
        <v>8.83</v>
      </c>
      <c r="E490" s="3">
        <f t="shared" si="1"/>
        <v>2371.69</v>
      </c>
      <c r="F490" s="3">
        <f t="shared" si="2"/>
        <v>20271.375</v>
      </c>
      <c r="G490" s="3">
        <f t="shared" si="3"/>
        <v>422.5546834</v>
      </c>
      <c r="H490" s="3">
        <f t="shared" si="4"/>
        <v>0.6246080168</v>
      </c>
      <c r="I490" s="3">
        <f t="shared" si="5"/>
        <v>5.338667084</v>
      </c>
      <c r="J490" s="3">
        <f t="shared" si="6"/>
        <v>30.41841042</v>
      </c>
      <c r="K490" s="3">
        <f t="shared" si="7"/>
        <v>259.993087</v>
      </c>
      <c r="L490" s="3">
        <f t="shared" si="8"/>
        <v>0.01282562663</v>
      </c>
      <c r="M490" s="3">
        <f t="shared" si="9"/>
        <v>0.5098062511</v>
      </c>
      <c r="N490" s="3">
        <f t="shared" si="10"/>
        <v>-0.7140071786</v>
      </c>
    </row>
    <row r="491" ht="14.25" customHeight="1">
      <c r="A491" s="3">
        <v>48.8</v>
      </c>
      <c r="B491" s="3">
        <v>427.96</v>
      </c>
      <c r="C491" s="3">
        <v>5.33</v>
      </c>
      <c r="E491" s="3">
        <f t="shared" si="1"/>
        <v>2381.44</v>
      </c>
      <c r="F491" s="3">
        <f t="shared" si="2"/>
        <v>20884.448</v>
      </c>
      <c r="G491" s="3">
        <f t="shared" si="3"/>
        <v>423.4157399</v>
      </c>
      <c r="H491" s="3">
        <f t="shared" si="4"/>
        <v>1.717771543</v>
      </c>
      <c r="I491" s="3">
        <f t="shared" si="5"/>
        <v>15.06429323</v>
      </c>
      <c r="J491" s="3">
        <f t="shared" si="6"/>
        <v>83.82725132</v>
      </c>
      <c r="K491" s="3">
        <f t="shared" si="7"/>
        <v>735.1375097</v>
      </c>
      <c r="L491" s="3">
        <f t="shared" si="8"/>
        <v>0.03520023655</v>
      </c>
      <c r="M491" s="3">
        <f t="shared" si="9"/>
        <v>0.7268954509</v>
      </c>
      <c r="N491" s="3">
        <f t="shared" si="10"/>
        <v>0.8525816388</v>
      </c>
    </row>
    <row r="492" ht="14.25" customHeight="1">
      <c r="A492" s="3">
        <v>48.9</v>
      </c>
      <c r="B492" s="3">
        <v>408.64</v>
      </c>
      <c r="C492" s="3">
        <v>10.29</v>
      </c>
      <c r="E492" s="3">
        <f t="shared" si="1"/>
        <v>2391.21</v>
      </c>
      <c r="F492" s="3">
        <f t="shared" si="2"/>
        <v>19982.496</v>
      </c>
      <c r="G492" s="3">
        <f t="shared" si="3"/>
        <v>424.2767963</v>
      </c>
      <c r="H492" s="3">
        <f t="shared" si="4"/>
        <v>0.4618257132</v>
      </c>
      <c r="I492" s="3">
        <f t="shared" si="5"/>
        <v>3.859314099</v>
      </c>
      <c r="J492" s="3">
        <f t="shared" si="6"/>
        <v>22.58327738</v>
      </c>
      <c r="K492" s="3">
        <f t="shared" si="7"/>
        <v>188.7204594</v>
      </c>
      <c r="L492" s="3">
        <f t="shared" si="8"/>
        <v>0.009444288614</v>
      </c>
      <c r="M492" s="3">
        <f t="shared" si="9"/>
        <v>2.309217341</v>
      </c>
      <c r="N492" s="3">
        <f t="shared" si="10"/>
        <v>-1.519610918</v>
      </c>
    </row>
    <row r="493" ht="14.25" customHeight="1">
      <c r="A493" s="3">
        <v>49.0</v>
      </c>
      <c r="B493" s="3">
        <v>422.13</v>
      </c>
      <c r="C493" s="3">
        <v>4.4</v>
      </c>
      <c r="E493" s="3">
        <f t="shared" si="1"/>
        <v>2401</v>
      </c>
      <c r="F493" s="3">
        <f t="shared" si="2"/>
        <v>20684.37</v>
      </c>
      <c r="G493" s="3">
        <f t="shared" si="3"/>
        <v>425.1378528</v>
      </c>
      <c r="H493" s="3">
        <f t="shared" si="4"/>
        <v>2.530991736</v>
      </c>
      <c r="I493" s="3">
        <f t="shared" si="5"/>
        <v>21.80423554</v>
      </c>
      <c r="J493" s="3">
        <f t="shared" si="6"/>
        <v>124.018595</v>
      </c>
      <c r="K493" s="3">
        <f t="shared" si="7"/>
        <v>1068.407541</v>
      </c>
      <c r="L493" s="3">
        <f t="shared" si="8"/>
        <v>0.05165289256</v>
      </c>
      <c r="M493" s="3">
        <f t="shared" si="9"/>
        <v>0.4673129438</v>
      </c>
      <c r="N493" s="3">
        <f t="shared" si="10"/>
        <v>-0.6836029138</v>
      </c>
    </row>
    <row r="494" ht="14.25" customHeight="1">
      <c r="A494" s="3">
        <v>49.1</v>
      </c>
      <c r="B494" s="3">
        <v>405.52</v>
      </c>
      <c r="C494" s="3">
        <v>10.65</v>
      </c>
      <c r="E494" s="3">
        <f t="shared" si="1"/>
        <v>2410.81</v>
      </c>
      <c r="F494" s="3">
        <f t="shared" si="2"/>
        <v>19911.032</v>
      </c>
      <c r="G494" s="3">
        <f t="shared" si="3"/>
        <v>425.9989093</v>
      </c>
      <c r="H494" s="3">
        <f t="shared" si="4"/>
        <v>0.4328947078</v>
      </c>
      <c r="I494" s="3">
        <f t="shared" si="5"/>
        <v>3.575304723</v>
      </c>
      <c r="J494" s="3">
        <f t="shared" si="6"/>
        <v>21.25513015</v>
      </c>
      <c r="K494" s="3">
        <f t="shared" si="7"/>
        <v>175.5474619</v>
      </c>
      <c r="L494" s="3">
        <f t="shared" si="8"/>
        <v>0.008816592828</v>
      </c>
      <c r="M494" s="3">
        <f t="shared" si="9"/>
        <v>3.697553184</v>
      </c>
      <c r="N494" s="3">
        <f t="shared" si="10"/>
        <v>-1.922902282</v>
      </c>
    </row>
    <row r="495" ht="14.25" customHeight="1">
      <c r="A495" s="3">
        <v>49.2</v>
      </c>
      <c r="B495" s="3">
        <v>417.65</v>
      </c>
      <c r="C495" s="3">
        <v>8.53</v>
      </c>
      <c r="E495" s="3">
        <f t="shared" si="1"/>
        <v>2420.64</v>
      </c>
      <c r="F495" s="3">
        <f t="shared" si="2"/>
        <v>20548.38</v>
      </c>
      <c r="G495" s="3">
        <f t="shared" si="3"/>
        <v>426.8599658</v>
      </c>
      <c r="H495" s="3">
        <f t="shared" si="4"/>
        <v>0.6761873479</v>
      </c>
      <c r="I495" s="3">
        <f t="shared" si="5"/>
        <v>5.740033452</v>
      </c>
      <c r="J495" s="3">
        <f t="shared" si="6"/>
        <v>33.26841752</v>
      </c>
      <c r="K495" s="3">
        <f t="shared" si="7"/>
        <v>282.4096458</v>
      </c>
      <c r="L495" s="3">
        <f t="shared" si="8"/>
        <v>0.01374364528</v>
      </c>
      <c r="M495" s="3">
        <f t="shared" si="9"/>
        <v>1.165783678</v>
      </c>
      <c r="N495" s="3">
        <f t="shared" si="10"/>
        <v>-1.079714628</v>
      </c>
    </row>
    <row r="496" ht="14.25" customHeight="1">
      <c r="A496" s="3">
        <v>49.3</v>
      </c>
      <c r="B496" s="3">
        <v>437.81</v>
      </c>
      <c r="C496" s="3">
        <v>12.48</v>
      </c>
      <c r="E496" s="3">
        <f t="shared" si="1"/>
        <v>2430.49</v>
      </c>
      <c r="F496" s="3">
        <f t="shared" si="2"/>
        <v>21584.033</v>
      </c>
      <c r="G496" s="3">
        <f t="shared" si="3"/>
        <v>427.7210223</v>
      </c>
      <c r="H496" s="3">
        <f t="shared" si="4"/>
        <v>0.3165320924</v>
      </c>
      <c r="I496" s="3">
        <f t="shared" si="5"/>
        <v>2.810971914</v>
      </c>
      <c r="J496" s="3">
        <f t="shared" si="6"/>
        <v>15.60503215</v>
      </c>
      <c r="K496" s="3">
        <f t="shared" si="7"/>
        <v>138.5809154</v>
      </c>
      <c r="L496" s="3">
        <f t="shared" si="8"/>
        <v>0.006420529257</v>
      </c>
      <c r="M496" s="3">
        <f t="shared" si="9"/>
        <v>0.6535294417</v>
      </c>
      <c r="N496" s="3">
        <f t="shared" si="10"/>
        <v>0.8084116783</v>
      </c>
    </row>
    <row r="497" ht="14.25" customHeight="1">
      <c r="A497" s="3">
        <v>49.4</v>
      </c>
      <c r="B497" s="3">
        <v>431.41</v>
      </c>
      <c r="C497" s="3">
        <v>7.93</v>
      </c>
      <c r="E497" s="3">
        <f t="shared" si="1"/>
        <v>2440.36</v>
      </c>
      <c r="F497" s="3">
        <f t="shared" si="2"/>
        <v>21311.654</v>
      </c>
      <c r="G497" s="3">
        <f t="shared" si="3"/>
        <v>428.5820787</v>
      </c>
      <c r="H497" s="3">
        <f t="shared" si="4"/>
        <v>0.7855621938</v>
      </c>
      <c r="I497" s="3">
        <f t="shared" si="5"/>
        <v>6.860311458</v>
      </c>
      <c r="J497" s="3">
        <f t="shared" si="6"/>
        <v>38.80677237</v>
      </c>
      <c r="K497" s="3">
        <f t="shared" si="7"/>
        <v>338.899386</v>
      </c>
      <c r="L497" s="3">
        <f t="shared" si="8"/>
        <v>0.0159020687</v>
      </c>
      <c r="M497" s="3">
        <f t="shared" si="9"/>
        <v>0.127171049</v>
      </c>
      <c r="N497" s="3">
        <f t="shared" si="10"/>
        <v>0.3566105004</v>
      </c>
    </row>
    <row r="498" ht="14.25" customHeight="1">
      <c r="A498" s="3">
        <v>49.5</v>
      </c>
      <c r="B498" s="3">
        <v>416.57</v>
      </c>
      <c r="C498" s="3">
        <v>9.52</v>
      </c>
      <c r="E498" s="3">
        <f t="shared" si="1"/>
        <v>2450.25</v>
      </c>
      <c r="F498" s="3">
        <f t="shared" si="2"/>
        <v>20620.215</v>
      </c>
      <c r="G498" s="3">
        <f t="shared" si="3"/>
        <v>429.4431352</v>
      </c>
      <c r="H498" s="3">
        <f t="shared" si="4"/>
        <v>0.5461743521</v>
      </c>
      <c r="I498" s="3">
        <f t="shared" si="5"/>
        <v>4.596360603</v>
      </c>
      <c r="J498" s="3">
        <f t="shared" si="6"/>
        <v>27.03563043</v>
      </c>
      <c r="K498" s="3">
        <f t="shared" si="7"/>
        <v>227.5198499</v>
      </c>
      <c r="L498" s="3">
        <f t="shared" si="8"/>
        <v>0.01103382529</v>
      </c>
      <c r="M498" s="3">
        <f t="shared" si="9"/>
        <v>1.828499159</v>
      </c>
      <c r="N498" s="3">
        <f t="shared" si="10"/>
        <v>-1.352220085</v>
      </c>
    </row>
    <row r="499" ht="14.25" customHeight="1">
      <c r="A499" s="3">
        <v>49.6</v>
      </c>
      <c r="B499" s="3">
        <v>440.84</v>
      </c>
      <c r="C499" s="3">
        <v>8.22</v>
      </c>
      <c r="E499" s="3">
        <f t="shared" si="1"/>
        <v>2460.16</v>
      </c>
      <c r="F499" s="3">
        <f t="shared" si="2"/>
        <v>21865.664</v>
      </c>
      <c r="G499" s="3">
        <f t="shared" si="3"/>
        <v>430.3041917</v>
      </c>
      <c r="H499" s="3">
        <f t="shared" si="4"/>
        <v>0.7340709562</v>
      </c>
      <c r="I499" s="3">
        <f t="shared" si="5"/>
        <v>6.52435162</v>
      </c>
      <c r="J499" s="3">
        <f t="shared" si="6"/>
        <v>36.40991943</v>
      </c>
      <c r="K499" s="3">
        <f t="shared" si="7"/>
        <v>323.6078404</v>
      </c>
      <c r="L499" s="3">
        <f t="shared" si="8"/>
        <v>0.01479981767</v>
      </c>
      <c r="M499" s="3">
        <f t="shared" si="9"/>
        <v>1.642827961</v>
      </c>
      <c r="N499" s="3">
        <f t="shared" si="10"/>
        <v>1.281728505</v>
      </c>
    </row>
    <row r="500" ht="14.25" customHeight="1">
      <c r="A500" s="3">
        <v>49.7</v>
      </c>
      <c r="B500" s="3">
        <v>423.35</v>
      </c>
      <c r="C500" s="3">
        <v>8.34</v>
      </c>
      <c r="E500" s="3">
        <f t="shared" si="1"/>
        <v>2470.09</v>
      </c>
      <c r="F500" s="3">
        <f t="shared" si="2"/>
        <v>21040.495</v>
      </c>
      <c r="G500" s="3">
        <f t="shared" si="3"/>
        <v>431.1652482</v>
      </c>
      <c r="H500" s="3">
        <f t="shared" si="4"/>
        <v>0.7145362846</v>
      </c>
      <c r="I500" s="3">
        <f t="shared" si="5"/>
        <v>6.086497708</v>
      </c>
      <c r="J500" s="3">
        <f t="shared" si="6"/>
        <v>35.51245335</v>
      </c>
      <c r="K500" s="3">
        <f t="shared" si="7"/>
        <v>302.4989361</v>
      </c>
      <c r="L500" s="3">
        <f t="shared" si="8"/>
        <v>0.01437698762</v>
      </c>
      <c r="M500" s="3">
        <f t="shared" si="9"/>
        <v>0.8781191434</v>
      </c>
      <c r="N500" s="3">
        <f t="shared" si="10"/>
        <v>-0.9370801158</v>
      </c>
    </row>
    <row r="501" ht="14.25" customHeight="1">
      <c r="A501" s="3">
        <v>49.8</v>
      </c>
      <c r="B501" s="3">
        <v>432.17</v>
      </c>
      <c r="C501" s="3">
        <v>11.57</v>
      </c>
      <c r="E501" s="3">
        <f t="shared" si="1"/>
        <v>2480.04</v>
      </c>
      <c r="F501" s="3">
        <f t="shared" si="2"/>
        <v>21522.066</v>
      </c>
      <c r="G501" s="3">
        <f t="shared" si="3"/>
        <v>432.0263046</v>
      </c>
      <c r="H501" s="3">
        <f t="shared" si="4"/>
        <v>0.3720168618</v>
      </c>
      <c r="I501" s="3">
        <f t="shared" si="5"/>
        <v>3.22840416</v>
      </c>
      <c r="J501" s="3">
        <f t="shared" si="6"/>
        <v>18.52643972</v>
      </c>
      <c r="K501" s="3">
        <f t="shared" si="7"/>
        <v>160.7745272</v>
      </c>
      <c r="L501" s="3">
        <f t="shared" si="8"/>
        <v>0.007470218108</v>
      </c>
      <c r="M501" s="3">
        <f t="shared" si="9"/>
        <v>0.0001542477187</v>
      </c>
      <c r="N501" s="3">
        <f t="shared" si="10"/>
        <v>0.01241965051</v>
      </c>
    </row>
    <row r="502" ht="14.25" customHeight="1">
      <c r="A502" s="3">
        <v>49.9</v>
      </c>
      <c r="B502" s="3">
        <v>438.48</v>
      </c>
      <c r="C502" s="3">
        <v>8.26</v>
      </c>
      <c r="E502" s="3">
        <f t="shared" si="1"/>
        <v>2490.01</v>
      </c>
      <c r="F502" s="3">
        <f t="shared" si="2"/>
        <v>21880.152</v>
      </c>
      <c r="G502" s="3">
        <f t="shared" si="3"/>
        <v>432.8873611</v>
      </c>
      <c r="H502" s="3">
        <f t="shared" si="4"/>
        <v>0.7313755723</v>
      </c>
      <c r="I502" s="3">
        <f t="shared" si="5"/>
        <v>6.426724669</v>
      </c>
      <c r="J502" s="3">
        <f t="shared" si="6"/>
        <v>36.49564106</v>
      </c>
      <c r="K502" s="3">
        <f t="shared" si="7"/>
        <v>320.693561</v>
      </c>
      <c r="L502" s="3">
        <f t="shared" si="8"/>
        <v>0.0146568251</v>
      </c>
      <c r="M502" s="3">
        <f t="shared" si="9"/>
        <v>0.4584304537</v>
      </c>
      <c r="N502" s="3">
        <f t="shared" si="10"/>
        <v>0.6770749248</v>
      </c>
    </row>
    <row r="503" ht="14.25" customHeight="1">
      <c r="A503" s="3">
        <v>50.0</v>
      </c>
      <c r="B503" s="3">
        <v>432.75</v>
      </c>
      <c r="C503" s="3">
        <v>11.04</v>
      </c>
      <c r="E503" s="3">
        <f t="shared" si="1"/>
        <v>2500</v>
      </c>
      <c r="F503" s="3">
        <f t="shared" si="2"/>
        <v>21637.5</v>
      </c>
      <c r="G503" s="3">
        <f t="shared" si="3"/>
        <v>433.7484176</v>
      </c>
      <c r="H503" s="3">
        <f t="shared" si="4"/>
        <v>0.4102341945</v>
      </c>
      <c r="I503" s="3">
        <f t="shared" si="5"/>
        <v>3.550576953</v>
      </c>
      <c r="J503" s="3">
        <f t="shared" si="6"/>
        <v>20.51170972</v>
      </c>
      <c r="K503" s="3">
        <f t="shared" si="7"/>
        <v>177.5288477</v>
      </c>
      <c r="L503" s="3">
        <f t="shared" si="8"/>
        <v>0.00820468389</v>
      </c>
      <c r="M503" s="3">
        <f t="shared" si="9"/>
        <v>0.00817873824</v>
      </c>
      <c r="N503" s="3">
        <f t="shared" si="10"/>
        <v>-0.09043637675</v>
      </c>
    </row>
    <row r="504" ht="14.25" customHeight="1"/>
    <row r="505" ht="14.25" customHeight="1">
      <c r="A505" s="3">
        <f t="shared" ref="A505:B505" si="11">SUM(A3:A503)</f>
        <v>12525</v>
      </c>
      <c r="B505" s="3">
        <f t="shared" si="11"/>
        <v>109544.9</v>
      </c>
      <c r="E505" s="3">
        <f t="shared" ref="E505:F505" si="12">SUM(E3:E503)</f>
        <v>417917.5</v>
      </c>
      <c r="F505" s="3">
        <f t="shared" si="12"/>
        <v>3642421.404</v>
      </c>
      <c r="H505" s="3">
        <f t="shared" ref="H505:M505" si="13">SUM(H3:H503)</f>
        <v>1740.756164</v>
      </c>
      <c r="I505" s="3">
        <f t="shared" si="13"/>
        <v>19632.05145</v>
      </c>
      <c r="J505" s="3">
        <f t="shared" si="13"/>
        <v>21406.16963</v>
      </c>
      <c r="K505" s="3">
        <f t="shared" si="13"/>
        <v>189924.7561</v>
      </c>
      <c r="L505" s="3">
        <f t="shared" si="13"/>
        <v>1441.894445</v>
      </c>
      <c r="M505" s="3">
        <f t="shared" si="13"/>
        <v>524.510363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E1:N1"/>
    <mergeCell ref="P1:W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2021-03-23T13:38:49Z</dcterms:created>
  <dc:creator>Giovanni Nicola D'Aloisio</dc:creator>
</cp:coreProperties>
</file>